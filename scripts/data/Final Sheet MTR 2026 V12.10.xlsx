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  <sheet state="hidden" name="Pivot Table 3" sheetId="2" r:id="rId6"/>
    <sheet state="hidden" name="Pivot Table 2" sheetId="3" r:id="rId7"/>
    <sheet state="hidden" name="Sheet4" sheetId="4" r:id="rId8"/>
    <sheet state="hidden" name="Sheet5" sheetId="5" r:id="rId9"/>
  </sheets>
  <definedNames>
    <definedName hidden="1" localSheetId="0" name="_xlnm._FilterDatabase">FINAL!$A$1:$M$605</definedName>
    <definedName hidden="1" localSheetId="3" name="_xlnm._FilterDatabase">Sheet4!$A$1:$AG$586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<sst xmlns="http://schemas.openxmlformats.org/spreadsheetml/2006/main" count="12049" uniqueCount="2272">
  <si>
    <t>s.no</t>
  </si>
  <si>
    <t>name</t>
  </si>
  <si>
    <t>country</t>
  </si>
  <si>
    <t>Column 13</t>
  </si>
  <si>
    <t>phone</t>
  </si>
  <si>
    <t>email</t>
  </si>
  <si>
    <t>itra</t>
  </si>
  <si>
    <t>dob</t>
  </si>
  <si>
    <t>gender</t>
  </si>
  <si>
    <t>race_category</t>
  </si>
  <si>
    <t>bib_number</t>
  </si>
  <si>
    <t>Tshirt-Size</t>
  </si>
  <si>
    <t>Flag</t>
  </si>
  <si>
    <t>Komal Kc</t>
  </si>
  <si>
    <t>Nepal</t>
  </si>
  <si>
    <t>hello.komalkc@gmail.com</t>
  </si>
  <si>
    <t>female</t>
  </si>
  <si>
    <t>10_km</t>
  </si>
  <si>
    <t>M</t>
  </si>
  <si>
    <t>Bhim Kumari Pariyar</t>
  </si>
  <si>
    <t>+9779851100221</t>
  </si>
  <si>
    <t>bkpariyar@unicef.org</t>
  </si>
  <si>
    <t>XXL</t>
  </si>
  <si>
    <t>2. BIBs are generated again after removal of the duplicates</t>
  </si>
  <si>
    <t>Shweta Dubey</t>
  </si>
  <si>
    <t>shwetagautam303@gmail.com</t>
  </si>
  <si>
    <t>3. New runners were added following the file jimi shared</t>
  </si>
  <si>
    <t>Uki Singh</t>
  </si>
  <si>
    <t>itsmeukisingh@gmail.com</t>
  </si>
  <si>
    <t>S</t>
  </si>
  <si>
    <t>4. Total runners : 592</t>
  </si>
  <si>
    <t>Urvi Agrawal</t>
  </si>
  <si>
    <t>urvi.adguru@gmail.com</t>
  </si>
  <si>
    <t>Sandhya Acharya</t>
  </si>
  <si>
    <t>acharyasandhya02@gmail.com</t>
  </si>
  <si>
    <t>L</t>
  </si>
  <si>
    <t>100_mile</t>
  </si>
  <si>
    <t>Shandipta Rai</t>
  </si>
  <si>
    <t>ershandipta@gmail.com</t>
  </si>
  <si>
    <t>20_km</t>
  </si>
  <si>
    <t>Riya Shrestha</t>
  </si>
  <si>
    <t>shresthareeya125@gmail.com</t>
  </si>
  <si>
    <t>50_km</t>
  </si>
  <si>
    <t>Ruja Awal</t>
  </si>
  <si>
    <t>+977 9863039569</t>
  </si>
  <si>
    <t>awalruja2016@gmail.com</t>
  </si>
  <si>
    <t>80_km</t>
  </si>
  <si>
    <t>Anchita Bhimsaria</t>
  </si>
  <si>
    <t>+9779802034662</t>
  </si>
  <si>
    <t>anchitabhimsaria@gmail.com</t>
  </si>
  <si>
    <t>Pritisha Shrestha</t>
  </si>
  <si>
    <t>+977 9840028722</t>
  </si>
  <si>
    <t>pritishashresthaa24@gmail.com</t>
  </si>
  <si>
    <t>updated: April 9: added Balkrishna Chaulagain</t>
  </si>
  <si>
    <t>Aariya Manandhar</t>
  </si>
  <si>
    <t>kesmanandhar@gmail.com</t>
  </si>
  <si>
    <t>XS</t>
  </si>
  <si>
    <t>Adeline Dahal</t>
  </si>
  <si>
    <t>+977 9843936424</t>
  </si>
  <si>
    <t>adeline.dahal@gmail.com</t>
  </si>
  <si>
    <t>Shibika Poudel</t>
  </si>
  <si>
    <t>hereshibs@gmail.com</t>
  </si>
  <si>
    <t>Updated: April 11</t>
  </si>
  <si>
    <t>Added Shanta Gaha Magar</t>
  </si>
  <si>
    <t>Bijaya Gyawali</t>
  </si>
  <si>
    <t>bijayaagyawali@gmail.com</t>
  </si>
  <si>
    <t>Removed Meelina Shrestha</t>
  </si>
  <si>
    <t>Luja Mathema</t>
  </si>
  <si>
    <t>mathemadayal91@gmail.com</t>
  </si>
  <si>
    <t xml:space="preserve">Removed Sudip kadel </t>
  </si>
  <si>
    <t>Dawa Futi Sherpa</t>
  </si>
  <si>
    <t>+9779801028898</t>
  </si>
  <si>
    <t>dawafsherpa@gmail.com</t>
  </si>
  <si>
    <t xml:space="preserve">Added Jonas and Tuva Norway, 20KM </t>
  </si>
  <si>
    <t>Sangita Sharma</t>
  </si>
  <si>
    <t>rsangitasharma016@gmail.com</t>
  </si>
  <si>
    <t>Upgraded211	Biplab Prajapati	Nepal	NP	+9779851178228	ceminb@gmail.com	6662553	01/10/1989	male	20_km	352	M to 50</t>
  </si>
  <si>
    <t>Pragya Subedi</t>
  </si>
  <si>
    <t>pragya868@hotmail.com</t>
  </si>
  <si>
    <t>Chandani Gurung</t>
  </si>
  <si>
    <t>chandanigrg18@gmail.com</t>
  </si>
  <si>
    <t>Mina Thapa Magar</t>
  </si>
  <si>
    <t>purnimamagar31@gmail.com</t>
  </si>
  <si>
    <t>Karsal Lama</t>
  </si>
  <si>
    <t>lamakarsal82@gmail.com</t>
  </si>
  <si>
    <t>Mikely Karmacharya</t>
  </si>
  <si>
    <t>mikelysairam06@gmail.com</t>
  </si>
  <si>
    <t>Momika Shrestha</t>
  </si>
  <si>
    <t>shr.momika@gmail.com</t>
  </si>
  <si>
    <t>XL</t>
  </si>
  <si>
    <t>Susmita Shrestha</t>
  </si>
  <si>
    <t>sthas2003@gmail.com</t>
  </si>
  <si>
    <t>Shraddha Suman Bajracharya</t>
  </si>
  <si>
    <t>shraddha.bajrchrya@gmail.com</t>
  </si>
  <si>
    <t>Sita Mahara</t>
  </si>
  <si>
    <t>sitaot7@gmail.com</t>
  </si>
  <si>
    <t>Januka Rai</t>
  </si>
  <si>
    <t>janurai1@gmail.com</t>
  </si>
  <si>
    <t>Swastika Rai</t>
  </si>
  <si>
    <t>raiswastika71@gmail.com</t>
  </si>
  <si>
    <t>Amrita Kumari Pantha</t>
  </si>
  <si>
    <t>panthaamrita8@gmail.com</t>
  </si>
  <si>
    <t>Rama Prajapati</t>
  </si>
  <si>
    <t>+9779851107911</t>
  </si>
  <si>
    <t>rmaharjan@unicef.org</t>
  </si>
  <si>
    <t>Binu Khapung</t>
  </si>
  <si>
    <t>+9779851054142</t>
  </si>
  <si>
    <t>skhapung@unicef.org</t>
  </si>
  <si>
    <t>Sumitra Chitrakar</t>
  </si>
  <si>
    <t>+9779802039362</t>
  </si>
  <si>
    <t>suchitrakar@unicef.org</t>
  </si>
  <si>
    <t>Sharada Chhetri</t>
  </si>
  <si>
    <t>+9779801094332</t>
  </si>
  <si>
    <t>schhetri@unicef.org</t>
  </si>
  <si>
    <t>Durga Thapa Magar</t>
  </si>
  <si>
    <t>+9779803212887</t>
  </si>
  <si>
    <t>dtmagar@unicef.org</t>
  </si>
  <si>
    <t>Geizing Sherpa</t>
  </si>
  <si>
    <t>+9779705421007</t>
  </si>
  <si>
    <t>gsherpa@unicef.org</t>
  </si>
  <si>
    <t>Nikita Khadgi</t>
  </si>
  <si>
    <t>nickeytaa48@gmail.com</t>
  </si>
  <si>
    <t>Nita Khadgi</t>
  </si>
  <si>
    <t>nitakhadgi48@gmail.com</t>
  </si>
  <si>
    <t>Aaraju Khadka</t>
  </si>
  <si>
    <t>arzukhadka7135@gmail.com</t>
  </si>
  <si>
    <t xml:space="preserve"> Anjali Subba Manandhar</t>
  </si>
  <si>
    <t>Swastika Basnet</t>
  </si>
  <si>
    <t>basnets1999@gmail.com</t>
  </si>
  <si>
    <t>Najia Razawi</t>
  </si>
  <si>
    <t>Afghanistan</t>
  </si>
  <si>
    <t>+977 9802375379</t>
  </si>
  <si>
    <t>razawi@unicef.org</t>
  </si>
  <si>
    <t>Eva Gaderer</t>
  </si>
  <si>
    <t>Austria</t>
  </si>
  <si>
    <t>eva.gaderer@gmx.at</t>
  </si>
  <si>
    <t>Auriane Deborah Rose Meilland</t>
  </si>
  <si>
    <t>France</t>
  </si>
  <si>
    <t>meilland.auriane@gmail.com</t>
  </si>
  <si>
    <t>Paulina Campos Monteros</t>
  </si>
  <si>
    <t>Germany</t>
  </si>
  <si>
    <t>pablinko@gmail.com</t>
  </si>
  <si>
    <t>Farzana Khan</t>
  </si>
  <si>
    <t>Sri Lanka</t>
  </si>
  <si>
    <t>+97794777356937</t>
  </si>
  <si>
    <t>fjaleel@unicef.org</t>
  </si>
  <si>
    <t>Catherine Coleing</t>
  </si>
  <si>
    <t>United Kingdom of Great Britain and Northern Ireland</t>
  </si>
  <si>
    <t>+6588895378</t>
  </si>
  <si>
    <t>catherine_62@hotmail.com</t>
  </si>
  <si>
    <t>Catherine Quigley</t>
  </si>
  <si>
    <t>United States of America</t>
  </si>
  <si>
    <t>+16037288917</t>
  </si>
  <si>
    <t>catherine.page.quigley@gmail.com</t>
  </si>
  <si>
    <t>Krishna Dev Uprety</t>
  </si>
  <si>
    <t>criss_dev@yahoo.com</t>
  </si>
  <si>
    <t>male</t>
  </si>
  <si>
    <t>Nagendra Dhoj Larki</t>
  </si>
  <si>
    <t>karkinagendradhoj@gmail.com</t>
  </si>
  <si>
    <t>Sailendra Sharma</t>
  </si>
  <si>
    <t>+977 985-1067166</t>
  </si>
  <si>
    <t>Sharmasailendra63@yahoo.com</t>
  </si>
  <si>
    <t>Rupak Lal Joshi</t>
  </si>
  <si>
    <t>rupaklaljoshi@gmail.com</t>
  </si>
  <si>
    <t>Deepak Lal Joshi</t>
  </si>
  <si>
    <t>hakookale@gmail.com</t>
  </si>
  <si>
    <t>Rohit Mahato</t>
  </si>
  <si>
    <t>mahatorohit28@gmail.com</t>
  </si>
  <si>
    <t>Tamoi Fujii Fujii</t>
  </si>
  <si>
    <t>tamoifujii@gmail.com</t>
  </si>
  <si>
    <t>Shaubhagya Jung Khadka</t>
  </si>
  <si>
    <t>Sushant Ale Magar</t>
  </si>
  <si>
    <t>alesushantmagar@gmail.com</t>
  </si>
  <si>
    <t>Samir Ali Dewan</t>
  </si>
  <si>
    <t>dewansamir321@gmail.com</t>
  </si>
  <si>
    <t>Hitler Rai</t>
  </si>
  <si>
    <t>thukparai@gmail.com</t>
  </si>
  <si>
    <t>Bigyan Tandukar</t>
  </si>
  <si>
    <t>bigyantandukar1312@gmail.com</t>
  </si>
  <si>
    <t>Bishram Dahal</t>
  </si>
  <si>
    <t>+9779860851150</t>
  </si>
  <si>
    <t>transmitn@gmail.com</t>
  </si>
  <si>
    <t>Aakrit Dahal</t>
  </si>
  <si>
    <t>aakritdahal23@gmail.com</t>
  </si>
  <si>
    <t>Krishna Maharjan</t>
  </si>
  <si>
    <t>+9779841396787</t>
  </si>
  <si>
    <t>maharjan10@gmail.com</t>
  </si>
  <si>
    <t>Ramesh Shrestha</t>
  </si>
  <si>
    <t>+9779848249515</t>
  </si>
  <si>
    <t>ramess.pragya@gmail.com</t>
  </si>
  <si>
    <t>Sichu Shakya</t>
  </si>
  <si>
    <t>sichooz@gmail.com</t>
  </si>
  <si>
    <t>Sabin Shrestha</t>
  </si>
  <si>
    <t>shresthasabin184@gmail.com</t>
  </si>
  <si>
    <t>Karun Shrestha</t>
  </si>
  <si>
    <t>karunkop@gmail.com</t>
  </si>
  <si>
    <t>Rojesh Bajracharya</t>
  </si>
  <si>
    <t>rojesh.bajracharya007@gmail.com</t>
  </si>
  <si>
    <t>Amash Rai</t>
  </si>
  <si>
    <t>amashchhahari14@gmail.com</t>
  </si>
  <si>
    <t>Pawan Adhikari</t>
  </si>
  <si>
    <t>+9779841699844</t>
  </si>
  <si>
    <t>adhi.pawan@gmail.com</t>
  </si>
  <si>
    <t>Abhinav Budhathoki</t>
  </si>
  <si>
    <t>+9779803052712</t>
  </si>
  <si>
    <t>abhinavchettrirock3218@gmail.com</t>
  </si>
  <si>
    <t>Rupesh Shrestha</t>
  </si>
  <si>
    <t>shrestharupesh02@gmail.com</t>
  </si>
  <si>
    <t>Shrijal Tamrakar</t>
  </si>
  <si>
    <t>+9779813776021</t>
  </si>
  <si>
    <t>shrijaltamrakar@gmail.com</t>
  </si>
  <si>
    <t>Bishad Koju</t>
  </si>
  <si>
    <t>kojubishad@gmail.com</t>
  </si>
  <si>
    <t>Nabin Ghimire</t>
  </si>
  <si>
    <t>+9779841014781</t>
  </si>
  <si>
    <t>ghinabin@gmail.com</t>
  </si>
  <si>
    <t>Harris Gurung</t>
  </si>
  <si>
    <t>+9779841052762</t>
  </si>
  <si>
    <t>h.gurung1@gmail.com</t>
  </si>
  <si>
    <t>Siddharth Prajapati</t>
  </si>
  <si>
    <t>sidpraz63@gmail.com</t>
  </si>
  <si>
    <t>Bisesh Giri</t>
  </si>
  <si>
    <t>+9779761823763</t>
  </si>
  <si>
    <t>giri.bisesh1@gmail.com</t>
  </si>
  <si>
    <t>Jonas Campos Monteros</t>
  </si>
  <si>
    <t>camposjo@pm.me</t>
  </si>
  <si>
    <t>Sunil Giri</t>
  </si>
  <si>
    <t>girisunil928@gmail.com</t>
  </si>
  <si>
    <t>Dinesh Malla</t>
  </si>
  <si>
    <t>+977 9706936677</t>
  </si>
  <si>
    <t>saunakmalla12@gmail.com</t>
  </si>
  <si>
    <t>Saunak Malla</t>
  </si>
  <si>
    <t>saunakmalla96@gmail.com</t>
  </si>
  <si>
    <t>Sujan Shrestha</t>
  </si>
  <si>
    <t>sujanshrestha2074@gmail.com</t>
  </si>
  <si>
    <t>Swet Ghimire</t>
  </si>
  <si>
    <t>swetghimire47@gmail.com</t>
  </si>
  <si>
    <t>Subash Ram Shrestha</t>
  </si>
  <si>
    <t>subashraja7@gmail.com</t>
  </si>
  <si>
    <t>Mukesh Maharjan</t>
  </si>
  <si>
    <t>muku47@gmail.com</t>
  </si>
  <si>
    <t>Surajan Rajkarnikar</t>
  </si>
  <si>
    <t>surajanrk@gmail.com</t>
  </si>
  <si>
    <t>Ranjeev Lal Kayastha</t>
  </si>
  <si>
    <t>ranjeevkayastha@gmail.com</t>
  </si>
  <si>
    <t>Prem Bahadur Sunuwar</t>
  </si>
  <si>
    <t>+9779743977981</t>
  </si>
  <si>
    <t>santosh.bramicha@gmail.com</t>
  </si>
  <si>
    <t>Aayush Bajracharya</t>
  </si>
  <si>
    <t>+9779843819025</t>
  </si>
  <si>
    <t>aayushh17@gmail.com</t>
  </si>
  <si>
    <t>Sajil Sharma</t>
  </si>
  <si>
    <t>+9779849186697</t>
  </si>
  <si>
    <t>sajil.sharma@gmail.com</t>
  </si>
  <si>
    <t>Saugat Kafley</t>
  </si>
  <si>
    <t>+9779863632806</t>
  </si>
  <si>
    <t>saugatkafley@gmail.com</t>
  </si>
  <si>
    <t>Ankit Singh Hamal</t>
  </si>
  <si>
    <t>ankeethamal5271@gmail.com</t>
  </si>
  <si>
    <t>Utkrista Ghimire</t>
  </si>
  <si>
    <t>ghimireutkrista06@gmail.com</t>
  </si>
  <si>
    <t>Suprim Dahal</t>
  </si>
  <si>
    <t>suprimdahal777@gmail.com</t>
  </si>
  <si>
    <t>Tej Lamichhane</t>
  </si>
  <si>
    <t>mrdoggos555444@gmail.com</t>
  </si>
  <si>
    <t>Sulabh Bikram Silwal</t>
  </si>
  <si>
    <t>sulabhsilwal007@gmail.com</t>
  </si>
  <si>
    <t>Suraj Shrestha</t>
  </si>
  <si>
    <t>+9779851052800</t>
  </si>
  <si>
    <t>suraj.s@ptas.com.np</t>
  </si>
  <si>
    <t>Pukar Kc</t>
  </si>
  <si>
    <t>pukar.kc2050@gmail.com</t>
  </si>
  <si>
    <t>Jeevan Tamang</t>
  </si>
  <si>
    <t>dr.jeevan.anesthesia@gmail.com</t>
  </si>
  <si>
    <t>Bishwash Gurung</t>
  </si>
  <si>
    <t>bishwasgurung21@gmail.com</t>
  </si>
  <si>
    <t>Sushant Gurung</t>
  </si>
  <si>
    <t>sushantgurung085@gmail.com</t>
  </si>
  <si>
    <t>Ujjwal Singh Thakuri</t>
  </si>
  <si>
    <t>ujjwal.thakuri.86@gmail.com</t>
  </si>
  <si>
    <t>Dr. Bhagabat Bhattarai</t>
  </si>
  <si>
    <t>bhattarai_5@hotmail.com</t>
  </si>
  <si>
    <t>Bishal Kumar Thakur</t>
  </si>
  <si>
    <t>buddhasyangtan.cyf@gmail.com</t>
  </si>
  <si>
    <t>Abinath Phadera</t>
  </si>
  <si>
    <t>Aakash Jarga Magar</t>
  </si>
  <si>
    <t>Juju Kaji Maharjan</t>
  </si>
  <si>
    <t>kajijuju@hotmail.com</t>
  </si>
  <si>
    <t>Utsav Bajracharya</t>
  </si>
  <si>
    <t>utsav12390@gmail.com</t>
  </si>
  <si>
    <t>Dinesh Katwal</t>
  </si>
  <si>
    <t>medineshkatwal@gmail.com</t>
  </si>
  <si>
    <t>Suresh Tamang</t>
  </si>
  <si>
    <t>+449761682796</t>
  </si>
  <si>
    <t>sureswaiba7@gmail.com</t>
  </si>
  <si>
    <t>Samip Adhikari</t>
  </si>
  <si>
    <t>+977 9763694876</t>
  </si>
  <si>
    <t>thrill.shrink@gmail.com</t>
  </si>
  <si>
    <t>Siddhant Thapa Magar</t>
  </si>
  <si>
    <t>siddhantmagar737@gmail.com</t>
  </si>
  <si>
    <t>Ek Lal Neupane</t>
  </si>
  <si>
    <t>+9779851107925</t>
  </si>
  <si>
    <t>cchhantel@unicef.og</t>
  </si>
  <si>
    <t>Sushil Sahi</t>
  </si>
  <si>
    <t>+9779802039230</t>
  </si>
  <si>
    <t>ssahi@unicef.org</t>
  </si>
  <si>
    <t>Raju Maharjan</t>
  </si>
  <si>
    <t>Surya Khapung</t>
  </si>
  <si>
    <t>Prem Bahadur Chand</t>
  </si>
  <si>
    <t>+9779858052950</t>
  </si>
  <si>
    <t>prchand@unicef.org</t>
  </si>
  <si>
    <t>Yam Bahadur Thapa</t>
  </si>
  <si>
    <t>+9779841775423</t>
  </si>
  <si>
    <t>ythapa@unicef.org</t>
  </si>
  <si>
    <t>Dor Bahadur Yogi</t>
  </si>
  <si>
    <t>+9779851035287</t>
  </si>
  <si>
    <t>dyogi@unicef.org</t>
  </si>
  <si>
    <t>Yog Bahadur Gurung</t>
  </si>
  <si>
    <t>+9779851107924</t>
  </si>
  <si>
    <t>ybgurung@unicef.org</t>
  </si>
  <si>
    <t>Suresh Shrestha</t>
  </si>
  <si>
    <t>+9779801244523</t>
  </si>
  <si>
    <t>sushrestha@unicef.org</t>
  </si>
  <si>
    <t>Bimal Aryal</t>
  </si>
  <si>
    <t>Kush Rai</t>
  </si>
  <si>
    <t>Chitra Chhantel</t>
  </si>
  <si>
    <t>Anish Rajkarnikar</t>
  </si>
  <si>
    <t>anish.rajkarnikar4@gmail.com</t>
  </si>
  <si>
    <t>Rohan Manandhar</t>
  </si>
  <si>
    <t>rohan.manandhar10@gmail.com</t>
  </si>
  <si>
    <t>Rakesh Pradhan</t>
  </si>
  <si>
    <t>pradhan.rakes@gmail.com</t>
  </si>
  <si>
    <t>Anil Lal Shrestha</t>
  </si>
  <si>
    <t>anillal97@gmail.com</t>
  </si>
  <si>
    <t>Sohel Shrestha</t>
  </si>
  <si>
    <t>sohelshrestha04@gmail.com</t>
  </si>
  <si>
    <t>Swayam Dhakal</t>
  </si>
  <si>
    <t>+9779865102956</t>
  </si>
  <si>
    <t>swayamdhakal@gmail.com</t>
  </si>
  <si>
    <t>Utsav Ghimire</t>
  </si>
  <si>
    <t>ghimireutsav795@gmail.com</t>
  </si>
  <si>
    <t>Firsange Sherpa</t>
  </si>
  <si>
    <t>sherpafursange123@gmail.com</t>
  </si>
  <si>
    <t>Sajan Mahat</t>
  </si>
  <si>
    <t>sajanmahat491@gmail.com</t>
  </si>
  <si>
    <t>Krishal Karmacharya</t>
  </si>
  <si>
    <t>+9779869354385</t>
  </si>
  <si>
    <t>krishalkarmacharya2@gmail.com</t>
  </si>
  <si>
    <t>Mahendra Limbu Phudong</t>
  </si>
  <si>
    <t>+9779860031880</t>
  </si>
  <si>
    <t>boyzb4flwrbeck7@gmail.com</t>
  </si>
  <si>
    <t>Bishal Shakya</t>
  </si>
  <si>
    <t>shakyabishal067@gmail.com</t>
  </si>
  <si>
    <t>Tshering Lama</t>
  </si>
  <si>
    <t>+9779851340774</t>
  </si>
  <si>
    <t>lamatshering23@gmail.com</t>
  </si>
  <si>
    <t>Simon Chaudhary</t>
  </si>
  <si>
    <t>simonchaudhary8848@gmail.com</t>
  </si>
  <si>
    <t>Saugat R.C.</t>
  </si>
  <si>
    <t>saugatrc01@hotmail.com</t>
  </si>
  <si>
    <t>Nabin Rai</t>
  </si>
  <si>
    <t>raijekii58@gmail.com</t>
  </si>
  <si>
    <t>Robert Bichler</t>
  </si>
  <si>
    <t>+977 9808974736</t>
  </si>
  <si>
    <t>robert@deepertravel.de</t>
  </si>
  <si>
    <t>Ankur Kumar</t>
  </si>
  <si>
    <t>India</t>
  </si>
  <si>
    <t>cena.ace@gmail.com</t>
  </si>
  <si>
    <t>Dhruv Rai</t>
  </si>
  <si>
    <t>+918826049421</t>
  </si>
  <si>
    <t>dhruvrai13@gmail.com</t>
  </si>
  <si>
    <t>Eilif Sandvik</t>
  </si>
  <si>
    <t>Norway</t>
  </si>
  <si>
    <t>+977 9713495268</t>
  </si>
  <si>
    <t>eilif.sandvik01@gmail.com</t>
  </si>
  <si>
    <t>Maximilian Ritzmann</t>
  </si>
  <si>
    <t>Switzerland</t>
  </si>
  <si>
    <t>+977 985 140 60 59</t>
  </si>
  <si>
    <t>maximilianritzmann@gmail.com</t>
  </si>
  <si>
    <t>Naratit Timano</t>
  </si>
  <si>
    <t>Thailand</t>
  </si>
  <si>
    <t>+066826232667</t>
  </si>
  <si>
    <t>paradox_com@hotmail.com</t>
  </si>
  <si>
    <t>Chandra B Chhantel</t>
  </si>
  <si>
    <t>cchhantel@unicef.org</t>
  </si>
  <si>
    <t>Sanjay Rijal</t>
  </si>
  <si>
    <t>+9779851058048</t>
  </si>
  <si>
    <t>sarijal@unicef.org</t>
  </si>
  <si>
    <t>Huang Li Li</t>
  </si>
  <si>
    <t>848784132@qq.com</t>
  </si>
  <si>
    <t>Raghav Na Sarawagi</t>
  </si>
  <si>
    <t>rsarawagi2006@gmail.con</t>
  </si>
  <si>
    <t>Shivani Sarawagi</t>
  </si>
  <si>
    <t>shivanisarawagi1999@gmail.com</t>
  </si>
  <si>
    <t>Vaibhav Sarawagi</t>
  </si>
  <si>
    <t>+977 9808292651</t>
  </si>
  <si>
    <t>Vaibhavsarawagi2006@gmail.Com</t>
  </si>
  <si>
    <t>Rajani Kc</t>
  </si>
  <si>
    <t>kcrajani13@gmail.com</t>
  </si>
  <si>
    <t>Akendra Chalaune</t>
  </si>
  <si>
    <t>+9779748350677</t>
  </si>
  <si>
    <t>akendrachalaune341@gmail.com</t>
  </si>
  <si>
    <t>Chandra Dangol</t>
  </si>
  <si>
    <t>chandrajyapu@gmail.com</t>
  </si>
  <si>
    <t>Santosh Nath Karmacharya</t>
  </si>
  <si>
    <t>+9779802100347</t>
  </si>
  <si>
    <t>snkarmacharya@gmail.com</t>
  </si>
  <si>
    <t>Rakesh Manandhar</t>
  </si>
  <si>
    <t>Subin Poudel</t>
  </si>
  <si>
    <t>NP</t>
  </si>
  <si>
    <t>Merlin Mercer</t>
  </si>
  <si>
    <t>GB</t>
  </si>
  <si>
    <t>44 7918 607930</t>
  </si>
  <si>
    <t>Utsah Pandey</t>
  </si>
  <si>
    <t>utsahp@gmail.com</t>
  </si>
  <si>
    <t>Hriday Bir Pradhan</t>
  </si>
  <si>
    <t>hphriday07@gmail.com</t>
  </si>
  <si>
    <t>Shankar Shah</t>
  </si>
  <si>
    <t>snksah@gmail.com</t>
  </si>
  <si>
    <t>Tuva Marie Skaar</t>
  </si>
  <si>
    <t>Abhishek Lama</t>
  </si>
  <si>
    <t>+9779808370972</t>
  </si>
  <si>
    <t>Abhisheklama905@gmail.com</t>
  </si>
  <si>
    <t>Puja Basnet</t>
  </si>
  <si>
    <t>pujabasnet424@gmail.com</t>
  </si>
  <si>
    <t>Akriti Bista</t>
  </si>
  <si>
    <t>+977 9861527459</t>
  </si>
  <si>
    <t>akritibista99@gmail.com</t>
  </si>
  <si>
    <t>Prativa Pandey</t>
  </si>
  <si>
    <t>+9779860777401</t>
  </si>
  <si>
    <t>pprativa1@gmail.com</t>
  </si>
  <si>
    <t>Johanne Reimer</t>
  </si>
  <si>
    <t>+9779713883192</t>
  </si>
  <si>
    <t>johannereimer@outlook.com</t>
  </si>
  <si>
    <t>Anju Maharjan</t>
  </si>
  <si>
    <t>iamanjumaharjan@gmail.com</t>
  </si>
  <si>
    <t>Muna Limbu</t>
  </si>
  <si>
    <t>limbumuna794@gmail.com</t>
  </si>
  <si>
    <t>Kimberly Kay Tanguay</t>
  </si>
  <si>
    <t>jktanguay@gmail.com</t>
  </si>
  <si>
    <t>Bidhya Maharjan</t>
  </si>
  <si>
    <t>maharjan.bidhyalaxmi@gmail.com</t>
  </si>
  <si>
    <t>Megha Rani Chhetri</t>
  </si>
  <si>
    <t>meghachhetri.limbu@gmail.com</t>
  </si>
  <si>
    <t>Tsering Tengi Bhote</t>
  </si>
  <si>
    <t>lamasunny335@gmail.com</t>
  </si>
  <si>
    <t>Passang Dolma Gurung</t>
  </si>
  <si>
    <t>Ashmita Thapa</t>
  </si>
  <si>
    <t>thapa.ashmita007@gmail.com</t>
  </si>
  <si>
    <t>Rubina Pandey</t>
  </si>
  <si>
    <t>rubinapandey111@gmail.com</t>
  </si>
  <si>
    <t>Sarita Sapkota</t>
  </si>
  <si>
    <t>nepalmigrationwork@gmail.com</t>
  </si>
  <si>
    <t>Sandiba Budha</t>
  </si>
  <si>
    <t>+9779768300954</t>
  </si>
  <si>
    <t>Sandhya954@gmail.com</t>
  </si>
  <si>
    <t>Divya Khanal</t>
  </si>
  <si>
    <t>khanaldivya333@gmail.com</t>
  </si>
  <si>
    <t>Rubina Tuladhar</t>
  </si>
  <si>
    <t>rubiinat5@gmail.com</t>
  </si>
  <si>
    <t>Kalpana Tamang Syangtan</t>
  </si>
  <si>
    <t>lamakalpana2001@gmail.com</t>
  </si>
  <si>
    <t>Tulasa Devi Mishra</t>
  </si>
  <si>
    <t>tulushamishra@gmail.com</t>
  </si>
  <si>
    <t>Pushpa Basnet</t>
  </si>
  <si>
    <t>pushpa_23@hotmail.com</t>
  </si>
  <si>
    <t>Diyaa C</t>
  </si>
  <si>
    <t>+9779828066011</t>
  </si>
  <si>
    <t>diyaa44lh@gmail.com</t>
  </si>
  <si>
    <t>Ac-Sah Gurung</t>
  </si>
  <si>
    <t>akusagrg@gmail.com</t>
  </si>
  <si>
    <t>Tania Tani Khairi</t>
  </si>
  <si>
    <t>tania1366@gmail.com</t>
  </si>
  <si>
    <t>Di Peng</t>
  </si>
  <si>
    <t>China</t>
  </si>
  <si>
    <t>+393716202812</t>
  </si>
  <si>
    <t>simone_balzarini@libero.it</t>
  </si>
  <si>
    <t>Sofia Af Hällström</t>
  </si>
  <si>
    <t>Finland</t>
  </si>
  <si>
    <t>+358443565495</t>
  </si>
  <si>
    <t>sofia.af.hallstrom@gmail.com</t>
  </si>
  <si>
    <t>Emilie Roy De Lachaise</t>
  </si>
  <si>
    <t>emilie.roydelachaise@edhec.com</t>
  </si>
  <si>
    <t>Bénédicte Paule Françoise Blot</t>
  </si>
  <si>
    <t>+336302957</t>
  </si>
  <si>
    <t>blot.benedicte@gmail.com</t>
  </si>
  <si>
    <t>Lena Michaels</t>
  </si>
  <si>
    <t>lenatara@gmail.com</t>
  </si>
  <si>
    <t>Ichha Agarwal</t>
  </si>
  <si>
    <t>+919711854664</t>
  </si>
  <si>
    <t>ichhaagarg@gmail.com</t>
  </si>
  <si>
    <t>Marie Eggen Norloeff</t>
  </si>
  <si>
    <t>+4799437593</t>
  </si>
  <si>
    <t>marieeggennor@hotmail.com</t>
  </si>
  <si>
    <t>Dorota Smigowska</t>
  </si>
  <si>
    <t>Poland</t>
  </si>
  <si>
    <t>+48511146921</t>
  </si>
  <si>
    <t>dorota.zytkowicz@gmail.com</t>
  </si>
  <si>
    <t>Klara Berggren</t>
  </si>
  <si>
    <t>Sweden</t>
  </si>
  <si>
    <t>katherinehall94@gmail.com</t>
  </si>
  <si>
    <t>Chonthicha Fujiwara</t>
  </si>
  <si>
    <t>+66884443532</t>
  </si>
  <si>
    <t>kazuyataikoku@hotmail.co.jp</t>
  </si>
  <si>
    <t>Kate Heinrich- Jones</t>
  </si>
  <si>
    <t>+9779767653406</t>
  </si>
  <si>
    <t>kheinrichjones@gmail.com</t>
  </si>
  <si>
    <t>Monet Izabeth</t>
  </si>
  <si>
    <t>+19788559920</t>
  </si>
  <si>
    <t>monet.izabeth@gmail.com</t>
  </si>
  <si>
    <t>Gwendolyn Shafer</t>
  </si>
  <si>
    <t>gwen1025@gmail.com</t>
  </si>
  <si>
    <t>Erica Meeks</t>
  </si>
  <si>
    <t>ermeeks@gmail.com</t>
  </si>
  <si>
    <t>Durgesh Maharjan</t>
  </si>
  <si>
    <t>maharjan@live.com.uk</t>
  </si>
  <si>
    <t>Surendra Shrestha</t>
  </si>
  <si>
    <t>frensuren@gmail.com</t>
  </si>
  <si>
    <t>Erish Ghimire</t>
  </si>
  <si>
    <t>erishghimire@gmail.com</t>
  </si>
  <si>
    <t>Shaarav Lal Shrestha</t>
  </si>
  <si>
    <t>+9779851044128</t>
  </si>
  <si>
    <t>sharadsown@gmail.com</t>
  </si>
  <si>
    <t>Dhruba Regmee</t>
  </si>
  <si>
    <t>altitudeofeverest@gmail.com</t>
  </si>
  <si>
    <t>Mohit Maharjan</t>
  </si>
  <si>
    <t>mohit.maharjan16@gmail.com</t>
  </si>
  <si>
    <t>Rabindra Subba Limbu</t>
  </si>
  <si>
    <t>rabindrasubba5@gmail.com</t>
  </si>
  <si>
    <t>Deep Narshing Rayamajhi</t>
  </si>
  <si>
    <t>dnrayamajhi25@gmail.com</t>
  </si>
  <si>
    <t>Karma Wangchuk Gurung</t>
  </si>
  <si>
    <t>wang_karma@hotmail.com</t>
  </si>
  <si>
    <t>Sumit Kumar Ale</t>
  </si>
  <si>
    <t>+9779841070073</t>
  </si>
  <si>
    <t>sumitkumarale@gmail.com</t>
  </si>
  <si>
    <t>Samihang Rai</t>
  </si>
  <si>
    <t>samihangr965@gmail.com</t>
  </si>
  <si>
    <t>Prabal Shumsher Thapa</t>
  </si>
  <si>
    <t>ptarchktm@gmail.com</t>
  </si>
  <si>
    <t>Vinayak Jayasree</t>
  </si>
  <si>
    <t>+91 9036855776</t>
  </si>
  <si>
    <t>vinartery@gmail.com</t>
  </si>
  <si>
    <t>Emil Kalep Schneiders</t>
  </si>
  <si>
    <t>schneidersemil3@gmail.com</t>
  </si>
  <si>
    <t>Kabin Byanjankar</t>
  </si>
  <si>
    <t>kabinbenz2012@yahoo.com</t>
  </si>
  <si>
    <t>Bhupendra Tiruwa</t>
  </si>
  <si>
    <t>btiruwa556@gmail.com</t>
  </si>
  <si>
    <t>Tulsi Bahadur Awale</t>
  </si>
  <si>
    <t>awale.tulsi@gmail.com</t>
  </si>
  <si>
    <t>Sudip Pokharel</t>
  </si>
  <si>
    <t>sudippokharel@outlook.com</t>
  </si>
  <si>
    <t>Netra Bahadur Thapa</t>
  </si>
  <si>
    <t>netrathapa@hotmail.com</t>
  </si>
  <si>
    <t>Tsering Tashi Lama</t>
  </si>
  <si>
    <t>tseringhyolmo6@gmail.com</t>
  </si>
  <si>
    <t>Pragyadeep Shah</t>
  </si>
  <si>
    <t>shahpragyadeep@gmail.com</t>
  </si>
  <si>
    <t>Umesh Rokaya</t>
  </si>
  <si>
    <t>clubkarnalisports@gmail.com</t>
  </si>
  <si>
    <t>Manjil Malla</t>
  </si>
  <si>
    <t>manjil13.malla@gmail.com</t>
  </si>
  <si>
    <t>Arya Bikram Rana</t>
  </si>
  <si>
    <t>+9779862573162</t>
  </si>
  <si>
    <t>aaryarana4614@gmail.com</t>
  </si>
  <si>
    <t>Sankoch Rai</t>
  </si>
  <si>
    <t>bhoteyjungrai6@gmail.com</t>
  </si>
  <si>
    <t>Sunny Parajuli</t>
  </si>
  <si>
    <t>+9779745692259</t>
  </si>
  <si>
    <t>sunnyparajuli5@gmail.com</t>
  </si>
  <si>
    <t>Nima Tasi Sherpa</t>
  </si>
  <si>
    <t>982-6756544</t>
  </si>
  <si>
    <t>tasinima818@gmail.com</t>
  </si>
  <si>
    <t>Bardan Thapa</t>
  </si>
  <si>
    <t>+9779807888434</t>
  </si>
  <si>
    <t>tbardan11@gmail.com</t>
  </si>
  <si>
    <t>Sonish Sthapit</t>
  </si>
  <si>
    <t>soneecestha@gmail.com</t>
  </si>
  <si>
    <t>Gaurav Manandhar</t>
  </si>
  <si>
    <t>+9779801028359</t>
  </si>
  <si>
    <t>Gaurav151989@gmail.com</t>
  </si>
  <si>
    <t>Shubham Shrestha</t>
  </si>
  <si>
    <t>+9779810140141</t>
  </si>
  <si>
    <t>shubham.shrestha321@gmail.com</t>
  </si>
  <si>
    <t>Anant Murarka</t>
  </si>
  <si>
    <t>anant472@gmail.com</t>
  </si>
  <si>
    <t>Pasang Namgyal Sherpa</t>
  </si>
  <si>
    <t>namsangsherpa@gmail.com</t>
  </si>
  <si>
    <t>Paaras Golchha</t>
  </si>
  <si>
    <t>+9779801090727</t>
  </si>
  <si>
    <t>paarasmgolchha@gmail.com</t>
  </si>
  <si>
    <t>Ayush Shilpakar</t>
  </si>
  <si>
    <t>ayush.shilpakar87@gmail.com</t>
  </si>
  <si>
    <t>Dayjen Shrestha</t>
  </si>
  <si>
    <t>dayjen.jigme.shrestha977@gmail.com</t>
  </si>
  <si>
    <t>Amin Lama</t>
  </si>
  <si>
    <t>aminnulama@gmail.com</t>
  </si>
  <si>
    <t>Raja Mahatara</t>
  </si>
  <si>
    <t>mahatararaja3@gmail.com</t>
  </si>
  <si>
    <t>Dr.Ganesh Lal Shakya</t>
  </si>
  <si>
    <t>+449818649321</t>
  </si>
  <si>
    <t>drganesh60@gmail.com</t>
  </si>
  <si>
    <t>Sujen Shakya</t>
  </si>
  <si>
    <t>shakya.sujen@gmail.com</t>
  </si>
  <si>
    <t>Deepak Tamang</t>
  </si>
  <si>
    <t>karl7157@gmail.com</t>
  </si>
  <si>
    <t>Pranay Shrestha</t>
  </si>
  <si>
    <t>pranay2634@gmail.com</t>
  </si>
  <si>
    <t>Aavash Shrestha</t>
  </si>
  <si>
    <t>aavash.2001@gmail.com</t>
  </si>
  <si>
    <t>Pranav Raj Singh Dangol</t>
  </si>
  <si>
    <t>pranavrsdangol@gmail.com</t>
  </si>
  <si>
    <t>Sameer Man Gurung</t>
  </si>
  <si>
    <t>smggunn@gmail.com</t>
  </si>
  <si>
    <t>Silas Tashi</t>
  </si>
  <si>
    <t>clasillas@hotmail.com</t>
  </si>
  <si>
    <t>Sujal Kumar Mehta</t>
  </si>
  <si>
    <t>msujal721@gmail.com</t>
  </si>
  <si>
    <t>Sushan Maharjan</t>
  </si>
  <si>
    <t>sushanmaharjan4321@gmail.com</t>
  </si>
  <si>
    <t>John Magar</t>
  </si>
  <si>
    <t>johnmagar770@gmail.com</t>
  </si>
  <si>
    <t>Hussain Bolt</t>
  </si>
  <si>
    <t>huddin244@gmail.com</t>
  </si>
  <si>
    <t>Rastra Raj Bhandari</t>
  </si>
  <si>
    <t>+9779849477477</t>
  </si>
  <si>
    <t>rb3598@nyu.edu</t>
  </si>
  <si>
    <t>Hari Prasad Adhikari</t>
  </si>
  <si>
    <t>hariadhikari4@gmail.com</t>
  </si>
  <si>
    <t>Shant Kumar Mehta</t>
  </si>
  <si>
    <t>shant.mehta@ntc.net.np</t>
  </si>
  <si>
    <t>Rocky Prajapati</t>
  </si>
  <si>
    <t>clubfotorocky@gmail.com</t>
  </si>
  <si>
    <t>Conner Klaus Tanguay</t>
  </si>
  <si>
    <t>cktanguay3@gmail.com</t>
  </si>
  <si>
    <t>Sagun Rai</t>
  </si>
  <si>
    <t>saguncr@gmail.com</t>
  </si>
  <si>
    <t>Vivek Shumsher Thapa</t>
  </si>
  <si>
    <t>thapa.vivek@gmail.com</t>
  </si>
  <si>
    <t>Shaaambhav Bhattarai</t>
  </si>
  <si>
    <t>shaambhav.bhattarai@gmail.com</t>
  </si>
  <si>
    <t>Itihang Limbu</t>
  </si>
  <si>
    <t>itihangg@gmail.com</t>
  </si>
  <si>
    <t>Saurya Maharjan</t>
  </si>
  <si>
    <t>maharjanforean67@gmail.com</t>
  </si>
  <si>
    <t>Nick Maharjan</t>
  </si>
  <si>
    <t>976-8446585</t>
  </si>
  <si>
    <t>maharjannick30@gmail.com</t>
  </si>
  <si>
    <t>Britix Maharjan</t>
  </si>
  <si>
    <t>zritixmaharjan@gmail.com</t>
  </si>
  <si>
    <t>Raj Gyawali</t>
  </si>
  <si>
    <t>raj@socialtours.com</t>
  </si>
  <si>
    <t>Anil Kumar Maharjan</t>
  </si>
  <si>
    <t>+9779851225046</t>
  </si>
  <si>
    <t>anil.pasa12@gmail.com</t>
  </si>
  <si>
    <t>Nayan Shrestha</t>
  </si>
  <si>
    <t>nayanshrestha231@gmail.com</t>
  </si>
  <si>
    <t>Khadga Bhandari</t>
  </si>
  <si>
    <t>+977 9815321077</t>
  </si>
  <si>
    <t>rameshkhadgabhandari@gmail.com</t>
  </si>
  <si>
    <t>Dipendra Khawash Bhujel</t>
  </si>
  <si>
    <t>+977 985-2090886</t>
  </si>
  <si>
    <t>MKSTUDIO656@GMAIL.COM</t>
  </si>
  <si>
    <t>Kishor Khatri</t>
  </si>
  <si>
    <t>+977 9804357134</t>
  </si>
  <si>
    <t>Tenzin Gyatso Lama</t>
  </si>
  <si>
    <t>tenzin.g123.tg@gmail.com</t>
  </si>
  <si>
    <t>Adhiraj Pun</t>
  </si>
  <si>
    <t>adhipun97@icloud.com</t>
  </si>
  <si>
    <t>Avishek Shrestha</t>
  </si>
  <si>
    <t>+9779803409425</t>
  </si>
  <si>
    <t>shresthaavi@gmail.com</t>
  </si>
  <si>
    <t>Renaya Raut</t>
  </si>
  <si>
    <t>renayaraut2010@gmail.com</t>
  </si>
  <si>
    <t>Abhijeet Rai</t>
  </si>
  <si>
    <t>ww.raiabhijeet546@gmail.com</t>
  </si>
  <si>
    <t>Shreyans Kumar Choraria</t>
  </si>
  <si>
    <t>shreyanskumarc@gmail.com</t>
  </si>
  <si>
    <t>Passang Tenzin Gurung</t>
  </si>
  <si>
    <t>Tsering Furba Lama</t>
  </si>
  <si>
    <t>Jebin Gautam</t>
  </si>
  <si>
    <t>jebin.gautam@gmail.com</t>
  </si>
  <si>
    <t>Sunny Lama</t>
  </si>
  <si>
    <t>Suresh Raj Shakya</t>
  </si>
  <si>
    <t>sureshraj2@yahoo.com</t>
  </si>
  <si>
    <t>Chandan Tamrakar</t>
  </si>
  <si>
    <t>ctamrakar@gmail.com</t>
  </si>
  <si>
    <t>Winner Man Maharjan</t>
  </si>
  <si>
    <t>+9779849638841</t>
  </si>
  <si>
    <t>winnerman03@gmail.com</t>
  </si>
  <si>
    <t>Saugat Poudyal</t>
  </si>
  <si>
    <t>saugatpoudyal19@gmail.com</t>
  </si>
  <si>
    <t>Zeta Lageju</t>
  </si>
  <si>
    <t>lagejuz@gmail.com</t>
  </si>
  <si>
    <t>sabinvlog1995@gmail.com</t>
  </si>
  <si>
    <t>Pukar Man Gurung</t>
  </si>
  <si>
    <t>+9779823513446</t>
  </si>
  <si>
    <t>Pukargurung971@gmail.com</t>
  </si>
  <si>
    <t>ASTRA@MTR26</t>
  </si>
  <si>
    <t>Manish Shrestha</t>
  </si>
  <si>
    <t>+977 9745966035</t>
  </si>
  <si>
    <t>manish1499stha@gmail.com</t>
  </si>
  <si>
    <t>Pushing Tamang</t>
  </si>
  <si>
    <t>+9779766886163</t>
  </si>
  <si>
    <t>aviram64@gmail.com</t>
  </si>
  <si>
    <t>Alok Kafle</t>
  </si>
  <si>
    <t>+9779713520802</t>
  </si>
  <si>
    <t>lok.dawnit@gmail.com</t>
  </si>
  <si>
    <t>Vishwadeep Moktan</t>
  </si>
  <si>
    <t>+977-9860960331</t>
  </si>
  <si>
    <t>vishwamoktan5@gmail.com</t>
  </si>
  <si>
    <t>Alok Pokharel</t>
  </si>
  <si>
    <t>pokharelalok23@gmail.com</t>
  </si>
  <si>
    <t>Prakash Sedhai</t>
  </si>
  <si>
    <t>+9779849076973</t>
  </si>
  <si>
    <t>1psedhai@gmail.com</t>
  </si>
  <si>
    <t>Bipin Tamang</t>
  </si>
  <si>
    <t>+9779803646231</t>
  </si>
  <si>
    <t>bipin.tmg1@gmail.com</t>
  </si>
  <si>
    <t>Rubin Tamakar</t>
  </si>
  <si>
    <t>tmkrubin@gmail.com</t>
  </si>
  <si>
    <t>Shrabin Maharjan</t>
  </si>
  <si>
    <t>shrabin.05@gmail.com</t>
  </si>
  <si>
    <t>Suyesh Sainju</t>
  </si>
  <si>
    <t>+9779843056754</t>
  </si>
  <si>
    <t>suyesh.sainju@gmail.com</t>
  </si>
  <si>
    <t>Shashank Shrestha</t>
  </si>
  <si>
    <t>shashankji@gmail.com</t>
  </si>
  <si>
    <t>Prashant Khatri</t>
  </si>
  <si>
    <t>prashantkhatri0510@gmail.com</t>
  </si>
  <si>
    <t>Binay Shrestha</t>
  </si>
  <si>
    <t>+9779841242041</t>
  </si>
  <si>
    <t>binayshrestha@gmail.com</t>
  </si>
  <si>
    <t>Saugat Rijal</t>
  </si>
  <si>
    <t>+9779818637151</t>
  </si>
  <si>
    <t>Saugatspurs@gmail.com</t>
  </si>
  <si>
    <t>Anil Sthapit</t>
  </si>
  <si>
    <t>anilsthapit01@gmail.com</t>
  </si>
  <si>
    <t>Biplav Shrestha</t>
  </si>
  <si>
    <t>+9779841856153</t>
  </si>
  <si>
    <t>biplavshrestha99@gmail.com</t>
  </si>
  <si>
    <t>Arun Subba</t>
  </si>
  <si>
    <t>+9779818046854</t>
  </si>
  <si>
    <t>jeff1995subba@gmail.com</t>
  </si>
  <si>
    <t>Samrat Pandey</t>
  </si>
  <si>
    <t>+977 9841166755</t>
  </si>
  <si>
    <t>samrat.pandey@live.com</t>
  </si>
  <si>
    <t>Uday Krishna Tamrakar</t>
  </si>
  <si>
    <t>+9779748308877</t>
  </si>
  <si>
    <t>udaytamrakar@hotmail.com</t>
  </si>
  <si>
    <t>Omshree Narasingha Kc</t>
  </si>
  <si>
    <t>omshree_nkc@yahoo.com</t>
  </si>
  <si>
    <t>Eric Laurin Wezel</t>
  </si>
  <si>
    <t>Ericwezel97@gmail.com</t>
  </si>
  <si>
    <t>Yalamber Subba</t>
  </si>
  <si>
    <t>yalamber@mundhum.com</t>
  </si>
  <si>
    <t>Rumit Shrestha</t>
  </si>
  <si>
    <t>+977 9860087029</t>
  </si>
  <si>
    <t>shrestharumit33@gmail.com</t>
  </si>
  <si>
    <t>Bishal Maharjan</t>
  </si>
  <si>
    <t>+977 986171144</t>
  </si>
  <si>
    <t>bishalmhzn09@gmail.com</t>
  </si>
  <si>
    <t>Prabin Maharjan</t>
  </si>
  <si>
    <t>prabin824@gmail.com</t>
  </si>
  <si>
    <t>Rahul Yadav</t>
  </si>
  <si>
    <t>raydv18@gmail.com</t>
  </si>
  <si>
    <t>Rakshyak Shrestha</t>
  </si>
  <si>
    <t>rakshyakshrestha24@gmail.com</t>
  </si>
  <si>
    <t>Basu Nepal</t>
  </si>
  <si>
    <t>basunepalbn@gmail.com</t>
  </si>
  <si>
    <t>Sudeep Sayami</t>
  </si>
  <si>
    <t>+9779843460537</t>
  </si>
  <si>
    <t>sudeepsayami16@gmail.com</t>
  </si>
  <si>
    <t>Taman Isbo</t>
  </si>
  <si>
    <t>tamanlimbu21@gmail.com</t>
  </si>
  <si>
    <t>Milan Shahi</t>
  </si>
  <si>
    <t>+9779866815114</t>
  </si>
  <si>
    <t>milanshahi738@gmail.com</t>
  </si>
  <si>
    <t>ELITE@MTR26</t>
  </si>
  <si>
    <t>Amir Singh</t>
  </si>
  <si>
    <t>astonmartinakel@gmail.com</t>
  </si>
  <si>
    <t>Bikesh Shakya</t>
  </si>
  <si>
    <t>+9779861606111</t>
  </si>
  <si>
    <t>bikeshshakya360@gmail.com</t>
  </si>
  <si>
    <t>Isor Gurung</t>
  </si>
  <si>
    <t>isorgurung336@gmail.com</t>
  </si>
  <si>
    <t>Koshish Shrestha</t>
  </si>
  <si>
    <t>+9779863336676</t>
  </si>
  <si>
    <t>koshish62@gmail.com</t>
  </si>
  <si>
    <t>Roshan Shrestha</t>
  </si>
  <si>
    <t>shrestharoshan3339@gmail.com</t>
  </si>
  <si>
    <t>Nebin Giri</t>
  </si>
  <si>
    <t>nabingiri@gmail.com</t>
  </si>
  <si>
    <t>Sanjaya Poudel</t>
  </si>
  <si>
    <t>sanjaya.sbin@gmail.com</t>
  </si>
  <si>
    <t>Rojan Baniya</t>
  </si>
  <si>
    <t>rojan.baniya13@gmail.com</t>
  </si>
  <si>
    <t>Shreejal Kumar Gupta</t>
  </si>
  <si>
    <t>shreejal04gupta@gmail.com</t>
  </si>
  <si>
    <t>Suyesh Singh</t>
  </si>
  <si>
    <t>+977 9808838780</t>
  </si>
  <si>
    <t>suyeshsingh@outlook.com</t>
  </si>
  <si>
    <t>Ameen Tamang</t>
  </si>
  <si>
    <t>t.ameen021@gmail.com</t>
  </si>
  <si>
    <t>Riwaj Prajapati</t>
  </si>
  <si>
    <t>prajapatiriwaj@gmail.com</t>
  </si>
  <si>
    <t>Shailendra Dhami</t>
  </si>
  <si>
    <t>976-4440232</t>
  </si>
  <si>
    <t>shailen.dradhami46@gmail.com</t>
  </si>
  <si>
    <t>Bickey Maharjan</t>
  </si>
  <si>
    <t>biki-maharjan@hotmail.com</t>
  </si>
  <si>
    <t>No</t>
  </si>
  <si>
    <t>Anup Shrestha</t>
  </si>
  <si>
    <t>Anup.shres@hotmail.com</t>
  </si>
  <si>
    <t>Sushil Kumar Kandoi</t>
  </si>
  <si>
    <t>+9779807272097</t>
  </si>
  <si>
    <t>sushil.kandoi@gmail.com</t>
  </si>
  <si>
    <t>Santosh Khatri</t>
  </si>
  <si>
    <t>santosh.bh.khatri@gmail.com</t>
  </si>
  <si>
    <t>Kiran K Kunwar</t>
  </si>
  <si>
    <t>krnkunwar@gmail.com</t>
  </si>
  <si>
    <t>Bishav Narshing Rajbhandari</t>
  </si>
  <si>
    <t>+9779803346687</t>
  </si>
  <si>
    <t>bishav.n.r@gmail.com</t>
  </si>
  <si>
    <t>Sunil Bahadur Thapa Magar</t>
  </si>
  <si>
    <t>sunilthapa056@outlook.com</t>
  </si>
  <si>
    <t>Abhishek Sarangkoti Sarangkoti</t>
  </si>
  <si>
    <t>abhisheksarangkoti56@gmail.com</t>
  </si>
  <si>
    <t>Kiran Kunwar Kumar Kunwar</t>
  </si>
  <si>
    <t>kiran@himalayanlife.com</t>
  </si>
  <si>
    <t>Manish Jung Thapa</t>
  </si>
  <si>
    <t>+9779860644497</t>
  </si>
  <si>
    <t>thapa.manish16@gmail.com</t>
  </si>
  <si>
    <t>Gunjan Shrestha</t>
  </si>
  <si>
    <t>Australia</t>
  </si>
  <si>
    <t>+61433637262</t>
  </si>
  <si>
    <t>gunner1984.gs@gmail.com</t>
  </si>
  <si>
    <t>Simon Ernst</t>
  </si>
  <si>
    <t>simongernst@gmail.com</t>
  </si>
  <si>
    <t>Sebastian Braumueller</t>
  </si>
  <si>
    <t>+9779744961116</t>
  </si>
  <si>
    <t>sebastian.braumueller@a1.net</t>
  </si>
  <si>
    <t>Gregory Limb</t>
  </si>
  <si>
    <t>greglimb26@yahoo.fr</t>
  </si>
  <si>
    <t>Suraj Sujan Yadav</t>
  </si>
  <si>
    <t>+91 90490 62322</t>
  </si>
  <si>
    <t>surajyadav4284@gmail.com</t>
  </si>
  <si>
    <t>Simone Balzarini</t>
  </si>
  <si>
    <t>Italy</t>
  </si>
  <si>
    <t>Aksel Haugen Madslien</t>
  </si>
  <si>
    <t>+4793649854</t>
  </si>
  <si>
    <t>aksel-96@hotmail.com</t>
  </si>
  <si>
    <t>Grzegorz Smigowski</t>
  </si>
  <si>
    <t>g.smigowski@gmail.com</t>
  </si>
  <si>
    <t>Taejun Jin</t>
  </si>
  <si>
    <t>Korea, Republic of</t>
  </si>
  <si>
    <t>+9779803608601</t>
  </si>
  <si>
    <t>nepalmtb@gmail.com</t>
  </si>
  <si>
    <t>Dharma Gurung</t>
  </si>
  <si>
    <t>+447861575152</t>
  </si>
  <si>
    <t>zonawaves@gmail.com</t>
  </si>
  <si>
    <t>Mateo Graif</t>
  </si>
  <si>
    <t>sonyamartinmd@gmail.com</t>
  </si>
  <si>
    <t>Kritarth Bista</t>
  </si>
  <si>
    <t>bibhusan@yipl.com.np</t>
  </si>
  <si>
    <t>Yash Bahadur Shah</t>
  </si>
  <si>
    <t>yshah4451@gmail.com</t>
  </si>
  <si>
    <t>Pasang Sherpa</t>
  </si>
  <si>
    <t>Mukti Bodh Neupane</t>
  </si>
  <si>
    <t>muktihydro@gmail.com</t>
  </si>
  <si>
    <t>Prakritartha Ghimire</t>
  </si>
  <si>
    <t>prakritartha1624@gmail.com</t>
  </si>
  <si>
    <t>Puru Bahadur Ghale</t>
  </si>
  <si>
    <t>purughale@gmail.com</t>
  </si>
  <si>
    <t>Raj Gora</t>
  </si>
  <si>
    <t>raajgora42@gmail.com</t>
  </si>
  <si>
    <t>Ramesh Budha</t>
  </si>
  <si>
    <t>rameshchettry815@gmail.com</t>
  </si>
  <si>
    <t>Bishal Bahadur Tamang</t>
  </si>
  <si>
    <t>bishalmoktanarmytafc@gmail.com</t>
  </si>
  <si>
    <t>Norbu Tamang</t>
  </si>
  <si>
    <t>norbulamahoa@gmail.com</t>
  </si>
  <si>
    <t>Prithvi Jung Khadka</t>
  </si>
  <si>
    <t>986-0670501</t>
  </si>
  <si>
    <t>khadkaprithvi4@gmail.com</t>
  </si>
  <si>
    <t>Jonas Grønli</t>
  </si>
  <si>
    <t>NO</t>
  </si>
  <si>
    <t>Jonas.gronli@gmail.com</t>
  </si>
  <si>
    <t>Jessica Himelfarb</t>
  </si>
  <si>
    <t>US</t>
  </si>
  <si>
    <t>Torrey Langdon</t>
  </si>
  <si>
    <t>Rahul Rawal</t>
  </si>
  <si>
    <t>rahulrawal0255@gmail.com</t>
  </si>
  <si>
    <t>Riya Suryabanshi</t>
  </si>
  <si>
    <t>+9779860133215</t>
  </si>
  <si>
    <t>riya.suryabanshi@gmail.com</t>
  </si>
  <si>
    <t>Nisha Maharjan</t>
  </si>
  <si>
    <t>nishamaharjan04@gmail.com</t>
  </si>
  <si>
    <t>Puspa Serma</t>
  </si>
  <si>
    <t>linbupuspa433@gmail.com</t>
  </si>
  <si>
    <t>Manju Sunuwar</t>
  </si>
  <si>
    <t>sunuwarmanju2020@gmail.com</t>
  </si>
  <si>
    <t>Noshin Sharmili</t>
  </si>
  <si>
    <t>Bangladesh</t>
  </si>
  <si>
    <t>+8801813147438</t>
  </si>
  <si>
    <t>sharmilishuchi89@gmail.com</t>
  </si>
  <si>
    <t>Sayeda Fatmi Warda</t>
  </si>
  <si>
    <t>+8801321125707</t>
  </si>
  <si>
    <t>warda.sayeda007@gmail.com</t>
  </si>
  <si>
    <t>Vanja Cnops</t>
  </si>
  <si>
    <t>Belgium</t>
  </si>
  <si>
    <t>+6586641687</t>
  </si>
  <si>
    <t>vanja.cnops@gmail.com</t>
  </si>
  <si>
    <t>Susanne Novak</t>
  </si>
  <si>
    <t>+9779713731725</t>
  </si>
  <si>
    <t>novak_susanne@web.de</t>
  </si>
  <si>
    <t>Nga Sze Wong</t>
  </si>
  <si>
    <t>Hong Kong</t>
  </si>
  <si>
    <t>+85296072693</t>
  </si>
  <si>
    <t>tessangasze@gmail.com</t>
  </si>
  <si>
    <t>Wandashisha Dewkhaid</t>
  </si>
  <si>
    <t>wandashishadewkhaid@gmail.com</t>
  </si>
  <si>
    <t>Rakhee Rai</t>
  </si>
  <si>
    <t>rairakhee83@gmail.com</t>
  </si>
  <si>
    <t>Nangkiewsuki Slong</t>
  </si>
  <si>
    <t>+91 9863757011</t>
  </si>
  <si>
    <t>sandypuwein33@gmail.com</t>
  </si>
  <si>
    <t>Madhurima Mahapatra</t>
  </si>
  <si>
    <t>+917908323368</t>
  </si>
  <si>
    <t>smadhurima95@gmail.com</t>
  </si>
  <si>
    <t>Pooja Pooja</t>
  </si>
  <si>
    <t>+919988111572</t>
  </si>
  <si>
    <t>amitpluspooja@gamil.com</t>
  </si>
  <si>
    <t>Kiudamliu Gangmei</t>
  </si>
  <si>
    <t>+91 9312655562</t>
  </si>
  <si>
    <t>miriamgangmei@gmail.clom</t>
  </si>
  <si>
    <t>Mayuko Akutagawa</t>
  </si>
  <si>
    <t>Japan</t>
  </si>
  <si>
    <t>+977-9709711893</t>
  </si>
  <si>
    <t>jaurmayuko0323@gmail.com</t>
  </si>
  <si>
    <t>Elise Weiskopf</t>
  </si>
  <si>
    <t>Netherlands, Kingdom of the</t>
  </si>
  <si>
    <t>+9779851102251</t>
  </si>
  <si>
    <t>elise.weiskopf@gmail.com</t>
  </si>
  <si>
    <t>Vincere Zeng</t>
  </si>
  <si>
    <t>Singapore</t>
  </si>
  <si>
    <t>+6597393008</t>
  </si>
  <si>
    <t>vincere3.28@gmail.com</t>
  </si>
  <si>
    <t>Balkrishna Chaulagain</t>
  </si>
  <si>
    <t>chaulagainkrish7@gmail.com</t>
  </si>
  <si>
    <t>Santos Tamang</t>
  </si>
  <si>
    <t>santos98622@gmail.com</t>
  </si>
  <si>
    <t>Parbat Rai</t>
  </si>
  <si>
    <t>raiparbat355@gmail.com</t>
  </si>
  <si>
    <t>AMBASSADOR@MTR26</t>
  </si>
  <si>
    <t>Rajip Maharjan</t>
  </si>
  <si>
    <t>jalbinak2010@gmail.com</t>
  </si>
  <si>
    <t>Sunil Maharjan</t>
  </si>
  <si>
    <t>sunil19821225@gmail.com</t>
  </si>
  <si>
    <t>Laxmi Lal Awale</t>
  </si>
  <si>
    <t>laxmiawale@gmail.com</t>
  </si>
  <si>
    <t>Bikram Man Maharjan</t>
  </si>
  <si>
    <t>bikrammaharjan@gmail.com</t>
  </si>
  <si>
    <t>Sujit Maharjan</t>
  </si>
  <si>
    <t>maharjansujit7@gmail.com</t>
  </si>
  <si>
    <t>Bipin Jung Basnet</t>
  </si>
  <si>
    <t>bipinjungbasnet199@gmail.com</t>
  </si>
  <si>
    <t>Suraj Kumar Dura</t>
  </si>
  <si>
    <t>surajdura2507@gmail.com</t>
  </si>
  <si>
    <t>Himal Kunwar</t>
  </si>
  <si>
    <t>Sandeva Budha</t>
  </si>
  <si>
    <t>Chandra Rawat</t>
  </si>
  <si>
    <t>Basanta Rijal</t>
  </si>
  <si>
    <t>rijalbasanta123@gmail.com</t>
  </si>
  <si>
    <t>Suman Khadka</t>
  </si>
  <si>
    <t>sumandevelops@gmail.com</t>
  </si>
  <si>
    <t>Anurag Rokaya</t>
  </si>
  <si>
    <t>anuragrokaya60@gmail.com</t>
  </si>
  <si>
    <t>Riturag Rokaya</t>
  </si>
  <si>
    <t>rituragrokaya4@gmail.com</t>
  </si>
  <si>
    <t>Nirmal Banjara</t>
  </si>
  <si>
    <t>nirbanjara@gmail.com</t>
  </si>
  <si>
    <t>Saujan Pandhak</t>
  </si>
  <si>
    <t>lex@lexlimbu.com</t>
  </si>
  <si>
    <t>Kapil Chaulagain</t>
  </si>
  <si>
    <t>kapilchaulagain3@gmail.com</t>
  </si>
  <si>
    <t>Mingmar Tamang</t>
  </si>
  <si>
    <t>mingmartng@gmail.com</t>
  </si>
  <si>
    <t>Prayum Maharjan</t>
  </si>
  <si>
    <t>prayummaharjan@gmail.com</t>
  </si>
  <si>
    <t>Romik Gosai</t>
  </si>
  <si>
    <t>+9779861488873</t>
  </si>
  <si>
    <t>romikgosai2057@gmail.com</t>
  </si>
  <si>
    <t>Chhiring Ongmu Sherpa</t>
  </si>
  <si>
    <t>+9779863974160</t>
  </si>
  <si>
    <t>congmusherpa@gmail.com</t>
  </si>
  <si>
    <t>Bishal Rai</t>
  </si>
  <si>
    <t>gurungsudarshan48@gmail.com</t>
  </si>
  <si>
    <t>Madan Subedi</t>
  </si>
  <si>
    <t>madansubedi59@gmail.com</t>
  </si>
  <si>
    <t>Dewan Pradhan</t>
  </si>
  <si>
    <t>dewanpradhan@gmail.com</t>
  </si>
  <si>
    <t>Dan Thapa</t>
  </si>
  <si>
    <t>d2thapag@gmail.com</t>
  </si>
  <si>
    <t>Bishal Thulung Rai</t>
  </si>
  <si>
    <t>raim8654@gmail.com</t>
  </si>
  <si>
    <t>Lhakpa Gyalbu Sherpa</t>
  </si>
  <si>
    <t>+9779769036898</t>
  </si>
  <si>
    <t>hyolmolhakpagyalbu@gmail.com</t>
  </si>
  <si>
    <t>Unique Karki</t>
  </si>
  <si>
    <t>uniquekarki02@gmail.com</t>
  </si>
  <si>
    <t>Deependra Giri</t>
  </si>
  <si>
    <t>+9779761770631</t>
  </si>
  <si>
    <t>tamsandip@gmail.com</t>
  </si>
  <si>
    <t>Sandip Tamang</t>
  </si>
  <si>
    <t>Rabin Jung Thapa</t>
  </si>
  <si>
    <t>thaparabi1966@gmail.com</t>
  </si>
  <si>
    <t>Yubak Raj</t>
  </si>
  <si>
    <t>+9779766386660</t>
  </si>
  <si>
    <t>kojumla@yahoo.com</t>
  </si>
  <si>
    <t>Raj Maharjan</t>
  </si>
  <si>
    <t>+9779841201397</t>
  </si>
  <si>
    <t>raj.dhuku@gmail.com</t>
  </si>
  <si>
    <t>Som Bahadur Rawat</t>
  </si>
  <si>
    <t>somxettri831@gmail.com</t>
  </si>
  <si>
    <t>Pujan Kc</t>
  </si>
  <si>
    <t>+9779849399058</t>
  </si>
  <si>
    <t>pujanov69@gmail.com</t>
  </si>
  <si>
    <t>Sandeep Khadka</t>
  </si>
  <si>
    <t>+97719766389673</t>
  </si>
  <si>
    <t>sane_khadka@hotmail.com</t>
  </si>
  <si>
    <t>Dhira Bahadur Budha</t>
  </si>
  <si>
    <t>Pratap Thamsuhang</t>
  </si>
  <si>
    <t>Thamsuhangpratap2059@gmail.com</t>
  </si>
  <si>
    <t>Prasiddha Man Dangol</t>
  </si>
  <si>
    <t>dangolprasiddha73@gmail.com</t>
  </si>
  <si>
    <t>Shekhar Thapaliya</t>
  </si>
  <si>
    <t>shekharthapaliya88@gmail.com</t>
  </si>
  <si>
    <t>Ajay Bhatta</t>
  </si>
  <si>
    <t>ozaybhatta@gmail.com</t>
  </si>
  <si>
    <t>Binesh Tuladhar</t>
  </si>
  <si>
    <t>+9779813809444</t>
  </si>
  <si>
    <t>binesh.tuladhar@gmail.com</t>
  </si>
  <si>
    <t>Rajan Limbu</t>
  </si>
  <si>
    <t>+9779815006169</t>
  </si>
  <si>
    <t>limburajanrajanlimbu@gmail.com</t>
  </si>
  <si>
    <t>Pratik Bhuju</t>
  </si>
  <si>
    <t>+977 9841542868</t>
  </si>
  <si>
    <t>pratikbhuju@gmail.com</t>
  </si>
  <si>
    <t>Lokendra Rai</t>
  </si>
  <si>
    <t>+9779749940282</t>
  </si>
  <si>
    <t>lokendrarai070@gmail.com</t>
  </si>
  <si>
    <t>Kancha Ghale</t>
  </si>
  <si>
    <t>986-7694989</t>
  </si>
  <si>
    <t>Kanchhag98@gmail.com</t>
  </si>
  <si>
    <t>Shiva Raj Tamang</t>
  </si>
  <si>
    <t>cvaraz22446688@gmail.com</t>
  </si>
  <si>
    <t>Lakim Dahal</t>
  </si>
  <si>
    <t>lakimdahal1@gmail.com</t>
  </si>
  <si>
    <t>Nayan Manandhar</t>
  </si>
  <si>
    <t>nayansayami@gmail.com</t>
  </si>
  <si>
    <t>Nishesh Maharjan</t>
  </si>
  <si>
    <t>leonishesh@gmail.com</t>
  </si>
  <si>
    <t>Rajendra Bhomjan</t>
  </si>
  <si>
    <t>lrajendra7@gmail.com</t>
  </si>
  <si>
    <t>Hom Lal Shrestha</t>
  </si>
  <si>
    <t>+9779846071155</t>
  </si>
  <si>
    <t>homlalshrestha2020@gmail.com</t>
  </si>
  <si>
    <t>Ashok Maharjan</t>
  </si>
  <si>
    <t>amaharjan@gmail.com</t>
  </si>
  <si>
    <t>Buddhi Ram Gurung</t>
  </si>
  <si>
    <t>986-259-7589</t>
  </si>
  <si>
    <t>buddhiramgurung5@gmail.com</t>
  </si>
  <si>
    <t>Malakar Pramesh</t>
  </si>
  <si>
    <t>prameshmalakar@gmail.com</t>
  </si>
  <si>
    <t>Pramesh Malakar</t>
  </si>
  <si>
    <t>spasang149@gmail.com</t>
  </si>
  <si>
    <t>Pramod Rai</t>
  </si>
  <si>
    <t>sukbahdursuk@gmail.com</t>
  </si>
  <si>
    <t>Man Kumar Roka Magar</t>
  </si>
  <si>
    <t>rokamagarmankumar764@gmail.com</t>
  </si>
  <si>
    <t>Ram Bhakta Maharjan</t>
  </si>
  <si>
    <t>+9779851086723</t>
  </si>
  <si>
    <t>rambkt@gmail.com</t>
  </si>
  <si>
    <t>Nusi Hang Limbu</t>
  </si>
  <si>
    <t>nusilimbu@gmail.com</t>
  </si>
  <si>
    <t>Yuvraj Gurung</t>
  </si>
  <si>
    <t>yuvrajgurung952@gmail.com</t>
  </si>
  <si>
    <t>Diwakar Budha Magar</t>
  </si>
  <si>
    <t>+9779745248786</t>
  </si>
  <si>
    <t>magardipakar@gmail.com</t>
  </si>
  <si>
    <t>Rajesh Gc</t>
  </si>
  <si>
    <t>rohanrajesh85@gmail.com</t>
  </si>
  <si>
    <t>Jen Bajracharya</t>
  </si>
  <si>
    <t>jenbajra@gmail.com</t>
  </si>
  <si>
    <t>Sudeep Shakya</t>
  </si>
  <si>
    <t>sudeepshakya13@gmail.com</t>
  </si>
  <si>
    <t>Sushil Pakhrin Tamang</t>
  </si>
  <si>
    <t>supata@gmail.com</t>
  </si>
  <si>
    <t>Aayush Shikrakar</t>
  </si>
  <si>
    <t>aayushuman345@gmail.com</t>
  </si>
  <si>
    <t>Prashant Shrestha</t>
  </si>
  <si>
    <t>prash.shrestha@gmail.com</t>
  </si>
  <si>
    <t>Suman Basnet</t>
  </si>
  <si>
    <t>+9779802323301</t>
  </si>
  <si>
    <t>basnes4@gmail.com</t>
  </si>
  <si>
    <t>Binod Bhatt</t>
  </si>
  <si>
    <t>binodbhatt252@gmail.com</t>
  </si>
  <si>
    <t>Suyog Poudyal</t>
  </si>
  <si>
    <t>suyogpoudel87@gmail.com</t>
  </si>
  <si>
    <t>Gyanendra Subedi</t>
  </si>
  <si>
    <t>gaa9402@gmail.com</t>
  </si>
  <si>
    <t>Kumar Regmi</t>
  </si>
  <si>
    <t>+9779851160511</t>
  </si>
  <si>
    <t>emailregmikumar@gmail.com</t>
  </si>
  <si>
    <t>Saiful Islam</t>
  </si>
  <si>
    <t>+8801836999165</t>
  </si>
  <si>
    <t>worldtravelonfootofficial@gmail.com</t>
  </si>
  <si>
    <t>Shuvo Afridi</t>
  </si>
  <si>
    <t>+8801750681319</t>
  </si>
  <si>
    <t>afridishuvo@gmail.com</t>
  </si>
  <si>
    <t>Shuvo Afridi 6985811</t>
  </si>
  <si>
    <t>Ludovic Evrard</t>
  </si>
  <si>
    <t>+66657160519</t>
  </si>
  <si>
    <t>luev62@gmail.com</t>
  </si>
  <si>
    <t>Ahim Baral</t>
  </si>
  <si>
    <t>santagaha@gmail.com</t>
  </si>
  <si>
    <t>Emil Theodor Eisert</t>
  </si>
  <si>
    <t>emil-theodor.eisert@gmx.de</t>
  </si>
  <si>
    <t>Subir Sarkar</t>
  </si>
  <si>
    <t>+919647111624</t>
  </si>
  <si>
    <t>rocksubir302@gmail.com</t>
  </si>
  <si>
    <t>Ratheesh M.A.</t>
  </si>
  <si>
    <t>+91 9746778783</t>
  </si>
  <si>
    <t>ratheeshma@gmail.com</t>
  </si>
  <si>
    <t>Sourav Ray</t>
  </si>
  <si>
    <t>+91-9674715111</t>
  </si>
  <si>
    <t>raysourav@ymail.com</t>
  </si>
  <si>
    <t>Saibal Koley</t>
  </si>
  <si>
    <t>+919804085406</t>
  </si>
  <si>
    <t>bkbestbittu24@gmail.com</t>
  </si>
  <si>
    <t>Aman Mahaboob Saheb Nadaf</t>
  </si>
  <si>
    <t>+918884447129</t>
  </si>
  <si>
    <t>compuzone.india@gmail.com</t>
  </si>
  <si>
    <t>Shingo Abe</t>
  </si>
  <si>
    <t>+818071126174</t>
  </si>
  <si>
    <t>keitekinyusen@gmail.com</t>
  </si>
  <si>
    <t>Kazuya Fujiwara</t>
  </si>
  <si>
    <t>+66854818862</t>
  </si>
  <si>
    <t>Roman Evarts</t>
  </si>
  <si>
    <t>Latvia</t>
  </si>
  <si>
    <t>+447476140828</t>
  </si>
  <si>
    <t>romansevarts@gmail.com</t>
  </si>
  <si>
    <t>David Groves</t>
  </si>
  <si>
    <t>United States Of America</t>
  </si>
  <si>
    <t>davidjjgroves@gmail.com</t>
  </si>
  <si>
    <t>Kumar Bikram Regmi</t>
  </si>
  <si>
    <t>Raj Prakash Pradhan</t>
  </si>
  <si>
    <t>rppradhan2@gmail.com</t>
  </si>
  <si>
    <t>Suman Dahal</t>
  </si>
  <si>
    <t>sumandahal0303@gmail.com</t>
  </si>
  <si>
    <t>Prakash Chakraborty</t>
  </si>
  <si>
    <t>prakashchakraborty744@gmail.com</t>
  </si>
  <si>
    <t>Bibek Sunuwar</t>
  </si>
  <si>
    <t>+9779845836297</t>
  </si>
  <si>
    <t>sunuwarbibek42@gmail.com</t>
  </si>
  <si>
    <t>Santa Gaha Magar</t>
  </si>
  <si>
    <t>977 985-1035530</t>
  </si>
  <si>
    <t>Biplab Prajapati</t>
  </si>
  <si>
    <t>+9779851178228</t>
  </si>
  <si>
    <t>ceminb@gmail.com</t>
  </si>
  <si>
    <t>Sagar Shrestha</t>
  </si>
  <si>
    <t>cessna2764@gmail.com</t>
  </si>
  <si>
    <t>Hemant Shrestha</t>
  </si>
  <si>
    <t>shresthahemant@gmail.com</t>
  </si>
  <si>
    <t>Manju Rawat</t>
  </si>
  <si>
    <t>m32758034@gmail.com</t>
  </si>
  <si>
    <t>Anjali Neupane</t>
  </si>
  <si>
    <t>neupane.anjalu77@gmail.com</t>
  </si>
  <si>
    <t>Gita Maharjan</t>
  </si>
  <si>
    <t>+619745615407</t>
  </si>
  <si>
    <t>gitamaharjan303@gmail.com</t>
  </si>
  <si>
    <t>Seema Kumari Chaudhary</t>
  </si>
  <si>
    <t>+977 9826758453</t>
  </si>
  <si>
    <t>seemachaudhary215@gmail.com</t>
  </si>
  <si>
    <t>Kalpana Budha</t>
  </si>
  <si>
    <t>kalpanabudha226@gmail.com</t>
  </si>
  <si>
    <t>Sanisapan Sanwa Limbu</t>
  </si>
  <si>
    <t>sanisa.limbu00@gmail.com</t>
  </si>
  <si>
    <t>Anjuli Gurung</t>
  </si>
  <si>
    <t>anjuligurung666@gmail.com</t>
  </si>
  <si>
    <t>Dil Kala Kulung</t>
  </si>
  <si>
    <t>raidiya2056@gmail.com</t>
  </si>
  <si>
    <t>Dil Kala Khaling</t>
  </si>
  <si>
    <t xml:space="preserve"> SAVAGE Tara Renee</t>
  </si>
  <si>
    <t>Ang Furba Sherpa</t>
  </si>
  <si>
    <t>phurwalhamusherpa123@gmail.com</t>
  </si>
  <si>
    <t>Ang Purba Sherpa</t>
  </si>
  <si>
    <t>Anita Rai</t>
  </si>
  <si>
    <t>anitarai569@gmail.com</t>
  </si>
  <si>
    <t>Isabelle Bedard</t>
  </si>
  <si>
    <t>Canada</t>
  </si>
  <si>
    <t>+601111306926</t>
  </si>
  <si>
    <t>isabellebedard@gmail.com</t>
  </si>
  <si>
    <t>Stine Heiselberg</t>
  </si>
  <si>
    <t>Denmark</t>
  </si>
  <si>
    <t>stinehei@hotmail.com</t>
  </si>
  <si>
    <t>Sumana Debnath</t>
  </si>
  <si>
    <t>+91 9932590745</t>
  </si>
  <si>
    <t>debnathsumana12@gmail.com</t>
  </si>
  <si>
    <t>Chiyuki Mochizuki</t>
  </si>
  <si>
    <t>+819045934013</t>
  </si>
  <si>
    <t>mochizuki909@gmail.com</t>
  </si>
  <si>
    <t>Yasuyo Hotta</t>
  </si>
  <si>
    <t>+818022679072</t>
  </si>
  <si>
    <t>seven.steps.to.heaven@gmail.com</t>
  </si>
  <si>
    <t>Anne Mai Baan</t>
  </si>
  <si>
    <t>annemai.baan@gmail.com</t>
  </si>
  <si>
    <t>Sally Rebecca Moulds</t>
  </si>
  <si>
    <t>kingsally15@gmail.com</t>
  </si>
  <si>
    <t>Sonya Martin</t>
  </si>
  <si>
    <t>+9779802010678</t>
  </si>
  <si>
    <t>man.rakesh@gmail.com</t>
  </si>
  <si>
    <t>Prashish Pradhan</t>
  </si>
  <si>
    <t>pradhanprashish@gmail.cim</t>
  </si>
  <si>
    <t>Arihant Bothra</t>
  </si>
  <si>
    <t>bothra_arihant@hotmail.com</t>
  </si>
  <si>
    <t>Arjun Sah</t>
  </si>
  <si>
    <t>rjun1432@gmail.com</t>
  </si>
  <si>
    <t>Srijan Ayer</t>
  </si>
  <si>
    <t>+9779869574488</t>
  </si>
  <si>
    <t>srijan.ayer@gmail.com</t>
  </si>
  <si>
    <t>Bibhusan Bista</t>
  </si>
  <si>
    <t>+9779802056847</t>
  </si>
  <si>
    <t>Anjan Bhandari</t>
  </si>
  <si>
    <t>anjanbhandari564@gmail.com</t>
  </si>
  <si>
    <t>Ganesh Pandey</t>
  </si>
  <si>
    <t>ganesh.pandey255@gmail.com</t>
  </si>
  <si>
    <t>Uchit Aryal</t>
  </si>
  <si>
    <t>Uchitaryal100@gmail.com</t>
  </si>
  <si>
    <t>Mokshyak Amatya</t>
  </si>
  <si>
    <t>Amatya.home@gmail.com</t>
  </si>
  <si>
    <t>Dhana Bahadur Rana</t>
  </si>
  <si>
    <t>Dhanabahadurranamagar43@gmail.com</t>
  </si>
  <si>
    <t>Abhishek Subedi</t>
  </si>
  <si>
    <t>ahisheksubedi30@gmail.com</t>
  </si>
  <si>
    <t>sazearossan@gmail.com</t>
  </si>
  <si>
    <t>Bharat Gurung</t>
  </si>
  <si>
    <t>Grg982385@gmail.com</t>
  </si>
  <si>
    <t>Anupam Bista</t>
  </si>
  <si>
    <t>+9779851186633</t>
  </si>
  <si>
    <t>ashishbista3@gmail.com</t>
  </si>
  <si>
    <t>Prazol Bista</t>
  </si>
  <si>
    <t>prazol@academiacollege.edu.np</t>
  </si>
  <si>
    <t>Ashok Gurung</t>
  </si>
  <si>
    <t>ashok_grg@hotmail.com</t>
  </si>
  <si>
    <t>Arbin Shrestha</t>
  </si>
  <si>
    <t>+9779843620348</t>
  </si>
  <si>
    <t>orbeenshr@gmail.com</t>
  </si>
  <si>
    <t>Harshotsav Jalan</t>
  </si>
  <si>
    <t>harshjalan89@gmail.com</t>
  </si>
  <si>
    <t>Shreeyans Regmi</t>
  </si>
  <si>
    <t>Shreeyans.rocks2020@gmail.com</t>
  </si>
  <si>
    <t>Prasanga Kadel</t>
  </si>
  <si>
    <t>widpra@gmail.com</t>
  </si>
  <si>
    <t>Bishnu Bidari</t>
  </si>
  <si>
    <t>bidaribishnu7@gmail.com</t>
  </si>
  <si>
    <t>Pancharam Budha</t>
  </si>
  <si>
    <t>magarpancharam542@gmail.com</t>
  </si>
  <si>
    <t>Shaktiram Roka</t>
  </si>
  <si>
    <t>shaktirammagar5@gmail.com</t>
  </si>
  <si>
    <t>Chitij Kulung Rai</t>
  </si>
  <si>
    <t>runmirarai@gmail.com</t>
  </si>
  <si>
    <t>Manoj Kumar Shah</t>
  </si>
  <si>
    <t>+977-9808085862</t>
  </si>
  <si>
    <t>engineermanoj22@gmail.com</t>
  </si>
  <si>
    <t>Milan Kulung Rai</t>
  </si>
  <si>
    <t>+9779848651712</t>
  </si>
  <si>
    <t>Milan Tamang</t>
  </si>
  <si>
    <t>milan.sangbo@gmail.com</t>
  </si>
  <si>
    <t>Sher Bahadur Tharu</t>
  </si>
  <si>
    <t>tharusher99@gmail.com</t>
  </si>
  <si>
    <t>Clement Ooko Akach</t>
  </si>
  <si>
    <t>+254798204718</t>
  </si>
  <si>
    <t>kachoutdoors@gmail.com</t>
  </si>
  <si>
    <t>Bijay Rana Magar</t>
  </si>
  <si>
    <t>nara7495@gmail.com</t>
  </si>
  <si>
    <t>Nirmal Lamsal</t>
  </si>
  <si>
    <t>n.lamsal86@gmail.com</t>
  </si>
  <si>
    <t>Ranjit Rai</t>
  </si>
  <si>
    <t>ranjitsampang32@gmail.com</t>
  </si>
  <si>
    <t>Keshar Jang Ale</t>
  </si>
  <si>
    <t>keshar.ale@gmail.com</t>
  </si>
  <si>
    <t>Sushant Khatri</t>
  </si>
  <si>
    <t>sushantkhatri.kc@gmail.com</t>
  </si>
  <si>
    <t>Arjun Rai Kulung</t>
  </si>
  <si>
    <t>kulungarjun1234@gmail.com</t>
  </si>
  <si>
    <t>Abad Ullah</t>
  </si>
  <si>
    <t>+8801688719436</t>
  </si>
  <si>
    <t>abadu6008@gmail.com</t>
  </si>
  <si>
    <t>S M Sawan Shariar</t>
  </si>
  <si>
    <t>sshariar1991@gmail.com</t>
  </si>
  <si>
    <t>Partho Saha</t>
  </si>
  <si>
    <t>sahapartho182@gmail.com</t>
  </si>
  <si>
    <t>Mohammad Arif-Uz-Zaman</t>
  </si>
  <si>
    <t>+8801516124059</t>
  </si>
  <si>
    <t>arif188_jab@yahoo.com</t>
  </si>
  <si>
    <t>Md Fazle Rabby Chowdhury</t>
  </si>
  <si>
    <t>+8801911422298</t>
  </si>
  <si>
    <t>frabbychowdhury92@gmail.com</t>
  </si>
  <si>
    <t>Surjadoy Talukder</t>
  </si>
  <si>
    <t>surjachakma09@gmail.com</t>
  </si>
  <si>
    <t>Liu Yi Cong</t>
  </si>
  <si>
    <t>+86 17318514810</t>
  </si>
  <si>
    <t>694670451@qq.com</t>
  </si>
  <si>
    <t>Ruoheng Mo</t>
  </si>
  <si>
    <t>+8613620053062</t>
  </si>
  <si>
    <t>2518110645@qq.com</t>
  </si>
  <si>
    <t>Flavien Bascoul</t>
  </si>
  <si>
    <t>+33609011279</t>
  </si>
  <si>
    <t>flavienbasc@yahoo.com</t>
  </si>
  <si>
    <t xml:space="preserve">Gaël Wassmer
</t>
  </si>
  <si>
    <t>+977 976-7947870</t>
  </si>
  <si>
    <t>gael.wassmer@gmail.com</t>
  </si>
  <si>
    <t>Edgar Gourdin</t>
  </si>
  <si>
    <t>+33750409587</t>
  </si>
  <si>
    <t>edgourdin@gmail.com</t>
  </si>
  <si>
    <t>Pritam Rai</t>
  </si>
  <si>
    <t>+917432831227</t>
  </si>
  <si>
    <t>pritamrai462@gmail.com</t>
  </si>
  <si>
    <t>Jyotishko Biswas</t>
  </si>
  <si>
    <t>+91 9126413749</t>
  </si>
  <si>
    <t>jyotishkobiswasindia@gmail.com</t>
  </si>
  <si>
    <t xml:space="preserve">there were twi raj prakash pradhan, removed one, </t>
  </si>
  <si>
    <t>Soumyadip Mondal</t>
  </si>
  <si>
    <t>+919804043353</t>
  </si>
  <si>
    <t>mondal.soumyadip2@gmail.com</t>
  </si>
  <si>
    <t>then moved balkirhsna chapagain to replace the deuplicate raj prakash pradhan, for consistency</t>
  </si>
  <si>
    <t>Biswajit Dutta</t>
  </si>
  <si>
    <t>+918584071770</t>
  </si>
  <si>
    <t>biswajit.juberika@gmail.com</t>
  </si>
  <si>
    <t>Girish Hemashettar</t>
  </si>
  <si>
    <t>91-9141652236</t>
  </si>
  <si>
    <t>hemashettar@gmail.com</t>
  </si>
  <si>
    <t>Shubham Rakesh Sharma</t>
  </si>
  <si>
    <t>+919638958724</t>
  </si>
  <si>
    <t>shubhamshrmaoi4@gmail.com</t>
  </si>
  <si>
    <t>Sumit Kumar Singh</t>
  </si>
  <si>
    <t>sumitsingh123101@gmail.com</t>
  </si>
  <si>
    <t>Yuki Naotori</t>
  </si>
  <si>
    <t>+81 7083195550</t>
  </si>
  <si>
    <t>naotori@gmail.com</t>
  </si>
  <si>
    <t>Hiroki Yoshikawa</t>
  </si>
  <si>
    <t>+81 90 6421 7558</t>
  </si>
  <si>
    <t>yoshrish.yogi@gmail.com</t>
  </si>
  <si>
    <t>Jun Yamashita</t>
  </si>
  <si>
    <t>976−7983853</t>
  </si>
  <si>
    <t>agnusdei0318@gmail.com</t>
  </si>
  <si>
    <t>Titas Rai</t>
  </si>
  <si>
    <t>titashangkhim@gmail.com</t>
  </si>
  <si>
    <t>Taito Yasukochi</t>
  </si>
  <si>
    <t>nuworld01@gmail.com</t>
  </si>
  <si>
    <t>Ramon Tano Resurreccion Jr</t>
  </si>
  <si>
    <t>Philippines</t>
  </si>
  <si>
    <t>+971561389135</t>
  </si>
  <si>
    <t>resurreccionrt@yahoo.com</t>
  </si>
  <si>
    <t>Thang Huu Hoang</t>
  </si>
  <si>
    <t>Viet Nam</t>
  </si>
  <si>
    <t>+84916361389</t>
  </si>
  <si>
    <t>vietthang73@hotmail.com</t>
  </si>
  <si>
    <t>Yoshihisa Yasuda</t>
  </si>
  <si>
    <t>+819023646642</t>
  </si>
  <si>
    <t>kobashi0710@yahoo.co.jp</t>
  </si>
  <si>
    <t>Dakahi Kyndait</t>
  </si>
  <si>
    <t>+918730845162</t>
  </si>
  <si>
    <t>kyndaitdakahi@gmail.com</t>
  </si>
  <si>
    <t>Alexandra Wrigley</t>
  </si>
  <si>
    <t>alex.wriggz@gmail.com</t>
  </si>
  <si>
    <t>Ajaya Tamang</t>
  </si>
  <si>
    <t>ajayatamang548@gmail.com</t>
  </si>
  <si>
    <t>Dawa Tamang</t>
  </si>
  <si>
    <t>sensei.dawa@gmail.com</t>
  </si>
  <si>
    <t>Dhira Budha</t>
  </si>
  <si>
    <t>Grishma Darai</t>
  </si>
  <si>
    <t>grishmadarai4354@gmail.com</t>
  </si>
  <si>
    <t>Surya Raj Rai</t>
  </si>
  <si>
    <t>suryarajrai2@gmail.com</t>
  </si>
  <si>
    <t>Bikram Khanal</t>
  </si>
  <si>
    <t>+977 9810191419</t>
  </si>
  <si>
    <t>bikramkhanal1986@gmail.com</t>
  </si>
  <si>
    <t>Min Kumar Khawash</t>
  </si>
  <si>
    <t>+977 9803218462</t>
  </si>
  <si>
    <t>minkumarkhawash1@gmail.com</t>
  </si>
  <si>
    <t>Shiva Rai</t>
  </si>
  <si>
    <t>+977 9818636487</t>
  </si>
  <si>
    <t>shivaraimastercard@gmail.com</t>
  </si>
  <si>
    <t>Niroj Bhatta Chhetri</t>
  </si>
  <si>
    <t>nirojbhatta173@gmail.com</t>
  </si>
  <si>
    <t>Niraj Bhatta Chhetri</t>
  </si>
  <si>
    <t>Sijan Koju</t>
  </si>
  <si>
    <t>kojusijan@gmail.com</t>
  </si>
  <si>
    <t>Saket Kunwar</t>
  </si>
  <si>
    <t>saketkunwar2005@gmail.com</t>
  </si>
  <si>
    <t>Shivendra Shah</t>
  </si>
  <si>
    <t>+9779851155035</t>
  </si>
  <si>
    <t>beeshivendra@gmail.com</t>
  </si>
  <si>
    <t>Bhishma Raj Shigu</t>
  </si>
  <si>
    <t>+9779851189686</t>
  </si>
  <si>
    <t>sgbhishma4@gmail.com</t>
  </si>
  <si>
    <t>Nabin Khadka</t>
  </si>
  <si>
    <t>yogenvai66@gmail.con</t>
  </si>
  <si>
    <t>Season Adhikari</t>
  </si>
  <si>
    <t>seasonadhikari04@gmail.com</t>
  </si>
  <si>
    <t>Sanjib Thapa</t>
  </si>
  <si>
    <t>+9779813844275</t>
  </si>
  <si>
    <t>sanjib.d.thapa@gmail.com</t>
  </si>
  <si>
    <t>Tas Bahadur Gurung</t>
  </si>
  <si>
    <t>grg.tas007@gmail.com</t>
  </si>
  <si>
    <t>Harendra Kumar Chaudhary</t>
  </si>
  <si>
    <t>harendrachy47@gmail.com</t>
  </si>
  <si>
    <t>Nishanta Baidhya</t>
  </si>
  <si>
    <t>nishanta525@gmail.com</t>
  </si>
  <si>
    <t>Bibek Adhikari</t>
  </si>
  <si>
    <t>bibekadhikari7771@gmail.com</t>
  </si>
  <si>
    <t>Subhash Nepali</t>
  </si>
  <si>
    <t>+9778851128013</t>
  </si>
  <si>
    <t>semalisubhash@gmail.com</t>
  </si>
  <si>
    <t>Ubin Malla</t>
  </si>
  <si>
    <t>+9779841350171</t>
  </si>
  <si>
    <t>deemunk@gmail.com</t>
  </si>
  <si>
    <t>Gopal Lama</t>
  </si>
  <si>
    <t>gopaltamang387@gmail.com</t>
  </si>
  <si>
    <t>Rajeev Ranjan Singh</t>
  </si>
  <si>
    <t>+977-9841376867</t>
  </si>
  <si>
    <t>rajransin@gmail.com</t>
  </si>
  <si>
    <t>Ashutosh Rai</t>
  </si>
  <si>
    <t>ashutsoh.1234@gmail.com</t>
  </si>
  <si>
    <t>Shubho Kumar De</t>
  </si>
  <si>
    <t>+8801962424535</t>
  </si>
  <si>
    <t>shubhode65@gmail.com</t>
  </si>
  <si>
    <t>Towfique Elahe</t>
  </si>
  <si>
    <t>+8801711579097</t>
  </si>
  <si>
    <t>towfique773@gmail.com</t>
  </si>
  <si>
    <t>Samuel Antoine Stéphan</t>
  </si>
  <si>
    <t>+33630667876</t>
  </si>
  <si>
    <t>stephansamuel22@gmail.com</t>
  </si>
  <si>
    <t>Baskar Mundan</t>
  </si>
  <si>
    <t>+6581659442</t>
  </si>
  <si>
    <t>baskarm1977@gmail.com</t>
  </si>
  <si>
    <t>Aniket Roy</t>
  </si>
  <si>
    <t>+91 7044208622</t>
  </si>
  <si>
    <t>aniketroy95726@gmail.com</t>
  </si>
  <si>
    <t>Kelvindiran Ularkanazan</t>
  </si>
  <si>
    <t>Malaysia</t>
  </si>
  <si>
    <t>+60148570016</t>
  </si>
  <si>
    <t>kelvindiran_moh@yahoo.com</t>
  </si>
  <si>
    <t>Mario Raymund Ortega Yap</t>
  </si>
  <si>
    <t>+63 917 186 1358</t>
  </si>
  <si>
    <t>attymarxyap@gmail.com</t>
  </si>
  <si>
    <t>Billi Bierling</t>
  </si>
  <si>
    <t>+49162 7003494</t>
  </si>
  <si>
    <t>Billibierling@gmail.com</t>
  </si>
  <si>
    <t>Krishna Bhattarai</t>
  </si>
  <si>
    <t>thecrisnaz@gmail.com</t>
  </si>
  <si>
    <t>Bishal Paudyal</t>
  </si>
  <si>
    <t>+9779811201458</t>
  </si>
  <si>
    <t>bishalrajpaudyal@gmail.com</t>
  </si>
  <si>
    <t>Sai Kumar Rai</t>
  </si>
  <si>
    <t>saikumarrai222@gmail.com</t>
  </si>
  <si>
    <t>REMOVED SAVAGE FROM 100M (773)</t>
  </si>
  <si>
    <t>ADDED SAVAGE TO 50KM (636)</t>
  </si>
  <si>
    <t>COUNTA of race_category</t>
  </si>
  <si>
    <t>Grand Total</t>
  </si>
  <si>
    <t>10_km Total</t>
  </si>
  <si>
    <t>100_mile Total</t>
  </si>
  <si>
    <t>20_km Total</t>
  </si>
  <si>
    <t>50_km Total</t>
  </si>
  <si>
    <t>80_km Total</t>
  </si>
  <si>
    <t>MIN of bib_number</t>
  </si>
  <si>
    <t>MAX of bib_number</t>
  </si>
  <si>
    <t>token</t>
  </si>
  <si>
    <t>status</t>
  </si>
  <si>
    <t>support_only</t>
  </si>
  <si>
    <t>support_runner</t>
  </si>
  <si>
    <t>support_race_category</t>
  </si>
  <si>
    <t>own_amount</t>
  </si>
  <si>
    <t>support_amount</t>
  </si>
  <si>
    <t>support_discount_applied</t>
  </si>
  <si>
    <t>support_coupon_code</t>
  </si>
  <si>
    <t>supporter_anonymous</t>
  </si>
  <si>
    <t>supporter_display_name</t>
  </si>
  <si>
    <t>supporter_image_url</t>
  </si>
  <si>
    <t>tshirt_size</t>
  </si>
  <si>
    <t>transportation</t>
  </si>
  <si>
    <t>stay</t>
  </si>
  <si>
    <t>lunch</t>
  </si>
  <si>
    <t>pickup_location</t>
  </si>
  <si>
    <t>total</t>
  </si>
  <si>
    <t>coupon_code</t>
  </si>
  <si>
    <t>discount_applied</t>
  </si>
  <si>
    <t>payment_method</t>
  </si>
  <si>
    <t>paid_by_admin</t>
  </si>
  <si>
    <t>created_at</t>
  </si>
  <si>
    <t>remarks</t>
  </si>
  <si>
    <t>3896b4b54096e6e79dada315dbb6296c</t>
  </si>
  <si>
    <t>paid</t>
  </si>
  <si>
    <t>s</t>
  </si>
  <si>
    <t>none</t>
  </si>
  <si>
    <t>no</t>
  </si>
  <si>
    <t>qr</t>
  </si>
  <si>
    <t>jimi</t>
  </si>
  <si>
    <t>Created by admin (mjt) on 2026-04-08T08:15:31.510Z.</t>
  </si>
  <si>
    <t>9d89eb3ac94b54d680403c0c822c10fc</t>
  </si>
  <si>
    <t>xl</t>
  </si>
  <si>
    <t>UN@MTR26</t>
  </si>
  <si>
    <t>cb87fac16df4d2847fa6fd291eb9a993</t>
  </si>
  <si>
    <t>l</t>
  </si>
  <si>
    <t>2bd99c7ed4a190c1d0dc285646f5a24d</t>
  </si>
  <si>
    <t>m</t>
  </si>
  <si>
    <t>759dca68cb22528beda0c8ce925e8706</t>
  </si>
  <si>
    <t>5cabd82f97d2a8280ffc421787d391ec</t>
  </si>
  <si>
    <t>Bishal Paudyal Paudyal</t>
  </si>
  <si>
    <t>dbe75c8ab70f34ee52f0aaf18c870d25</t>
  </si>
  <si>
    <t>Created by admin (mjt) on 2026-04-08T03:56:22.071Z.</t>
  </si>
  <si>
    <t>88f5bdd22311db841dff653f866799f6</t>
  </si>
  <si>
    <t>ARC@MTR26</t>
  </si>
  <si>
    <t>mjt</t>
  </si>
  <si>
    <t>Created by admin (mjt) on 2026-04-07T16:52:15.817Z.
Runner discount: NPR 750 (ARC@MTR26)</t>
  </si>
  <si>
    <t>be9c0a18102eef624937f4790a16280d</t>
  </si>
  <si>
    <t>Created by admin (mjt) on 2026-04-07T16:51:13.865Z.
Runner discount: NPR 750 (ARC@MTR26)</t>
  </si>
  <si>
    <t>1f75f1745d43d327294cfc64ac245beb</t>
  </si>
  <si>
    <t>Created by admin (mjt) on 2026-04-07T16:46:40.706Z.
Runner discount: NPR 1875 (AMBASSADOR@MTR26)</t>
  </si>
  <si>
    <t>ec620067c6d24bcbe950d77f8cbfbd9f</t>
  </si>
  <si>
    <t>Raghav NA Sarawagi</t>
  </si>
  <si>
    <t>ba21d0ba70bb47ef804abe8093523f45</t>
  </si>
  <si>
    <t>a4045d6f461b7eda8a9dfcb87890f12d</t>
  </si>
  <si>
    <t>6815c370da6c9635744d5e3968e0ef97</t>
  </si>
  <si>
    <t>Rajani KC</t>
  </si>
  <si>
    <t>c61dbea5708d64f2dfff9ecf75658ca5</t>
  </si>
  <si>
    <t>Tania Khairi</t>
  </si>
  <si>
    <t xml:space="preserve">Afghanistan </t>
  </si>
  <si>
    <t>+9779803335508</t>
  </si>
  <si>
    <t>Tania1366@gmail.com</t>
  </si>
  <si>
    <t>086457dae727e9ce0c639548a0e2ebc7</t>
  </si>
  <si>
    <t>5a299db8f8d693ab6ca73b56b099a13c</t>
  </si>
  <si>
    <t>abroad</t>
  </si>
  <si>
    <t>1dd7d6c040b356693ab183e5cbb0f279</t>
  </si>
  <si>
    <t>patleban_call_request</t>
  </si>
  <si>
    <t>Requested call for Patleban Resort booking.</t>
  </si>
  <si>
    <t>728bcad73b3618a7e86e1716b1c6f2fc</t>
  </si>
  <si>
    <t>prashant</t>
  </si>
  <si>
    <t>5b92f6457f5de7f5842beddc2faea080</t>
  </si>
  <si>
    <t>c30ce3ec0d3b68c9f2ead09746fe12f9</t>
  </si>
  <si>
    <t>49a61b37e91cd1e0e38e9651e595165e</t>
  </si>
  <si>
    <t>d7f85aaf2332d624896bd77fa09f61da</t>
  </si>
  <si>
    <t>MELTDOWN@MTR26</t>
  </si>
  <si>
    <t>e6af3a31dedab18e12fdacd028a35489</t>
  </si>
  <si>
    <t>mahesh</t>
  </si>
  <si>
    <t>889bd50fc61515828be9037631719778</t>
  </si>
  <si>
    <t>b32b5dc046729c6c2853f2f28deae0ce</t>
  </si>
  <si>
    <t>+9779713495268</t>
  </si>
  <si>
    <t>d66cba1806bbfb056c21aefe977b7888</t>
  </si>
  <si>
    <t>Komal KC</t>
  </si>
  <si>
    <t>06c132f18bb3f69ebccd39cb3e896c42</t>
  </si>
  <si>
    <t>3f9c156e72f6a326d4621d1f4ba81745</t>
  </si>
  <si>
    <t>8dc4345bfd1f6632c13b0e152e9b8abe</t>
  </si>
  <si>
    <t>59faa6c26a96ba8a3c69609e3f563a16</t>
  </si>
  <si>
    <t>1ce22cca6213f94352250938d4314e65</t>
  </si>
  <si>
    <t>6cc29f54338813ceddfc1e5356995ff7</t>
  </si>
  <si>
    <t>3a9f169fe6712e5d77aa645e1e76ddf9</t>
  </si>
  <si>
    <t>83daee17b0204e6c50ca4f65494f958c</t>
  </si>
  <si>
    <t>0294f0d9f2bef84476dda0324c4cb27c</t>
  </si>
  <si>
    <t>7ca903076384050060e4f1c9b22fa501</t>
  </si>
  <si>
    <t>fbc5a3d3c8219bdc0d53eee252ea75e1</t>
  </si>
  <si>
    <t>DHRUBA REGMEE</t>
  </si>
  <si>
    <t>fb47abb23974b4d7a9985e8a94f17e9f</t>
  </si>
  <si>
    <t>d83c7b57bb37223d67227ec5b5eb7759</t>
  </si>
  <si>
    <t>xxl</t>
  </si>
  <si>
    <t>47c111bc44b605e19d9545a173c7e8cf</t>
  </si>
  <si>
    <t>xs</t>
  </si>
  <si>
    <t>98257c70cecdc395fef49807fe0d5640</t>
  </si>
  <si>
    <t>2c7ef774f1aee65543ce40503bb5bac9</t>
  </si>
  <si>
    <t>4dba84f79bfec8c2da6f3c2930dab594</t>
  </si>
  <si>
    <t>48219cbff9bfe6fc763b02dfc9e641f3</t>
  </si>
  <si>
    <t>0b3de93e054592e9e5ee873ac8380b46</t>
  </si>
  <si>
    <t>2b1f20ba6e136e1f9c6c8346399fbbed</t>
  </si>
  <si>
    <t>4e6c57ae9cc28866c3b7034b8aa89738</t>
  </si>
  <si>
    <t>3c1290280bd088743b5003c499c373ef</t>
  </si>
  <si>
    <t>61b11ac6fee2d86528457c3f8a23e41f</t>
  </si>
  <si>
    <t>319402cae7747e92e3a2ab14b4dd6af2</t>
  </si>
  <si>
    <t>20@MTR26</t>
  </si>
  <si>
    <t>6317bb32f501fcab04d662453c825a2a</t>
  </si>
  <si>
    <t>461e4ed17498b21d871d7d25f2e0fc77</t>
  </si>
  <si>
    <t>2eb576f029c3d28e07cfc9d169b0fca6</t>
  </si>
  <si>
    <t>0e8f839957ba0b1b18cb7b33e83a698d</t>
  </si>
  <si>
    <t>254c89bffb3a950df77e041eec28a79d</t>
  </si>
  <si>
    <t>SUMIT KUMAR ALE</t>
  </si>
  <si>
    <t>93bbf890f99561f616197550be4651e2</t>
  </si>
  <si>
    <t>cb03dcd77dbdca9fd04523486974c912</t>
  </si>
  <si>
    <t>eda36a84f6276a0f1066a2de84167fde</t>
  </si>
  <si>
    <t>7abf6414e34778f117627edbd95907a9</t>
  </si>
  <si>
    <t>2e90b189a87aeb6d2066935f95c80da1</t>
  </si>
  <si>
    <t>099c7fa7e0db2f2eb8c6e093862f1b81</t>
  </si>
  <si>
    <t>QR payment validated by admin (mjt) on 2026-04-02T03:16:51.629Z for PRN 7b0ec2ad5092edc0be49.</t>
  </si>
  <si>
    <t>38e8a3b4f7ffbbc7698815209531f4d5</t>
  </si>
  <si>
    <t>4253553d28f465e6f0153a78c015efbc</t>
  </si>
  <si>
    <t>93013dd1a640be7b5d92a03f587a186a</t>
  </si>
  <si>
    <t>9377b6aa7b2f4868a0a8249d18544493</t>
  </si>
  <si>
    <t>47051b0d1767ea500b707cfbdfc62e21</t>
  </si>
  <si>
    <t>c60a3868d101d888b21b02f9c7de823f</t>
  </si>
  <si>
    <t>7678c101b5e4e0be8162930937d1a709</t>
  </si>
  <si>
    <t>a538741a7fa5ccc1c1f7fc8d7282dac7</t>
  </si>
  <si>
    <t>5693df739953fe33b8ee38d8fb7a0389</t>
  </si>
  <si>
    <t>2662c8581df0779c4f8933b3c61d6e98</t>
  </si>
  <si>
    <t>4f991bdcc0a12ae866f8c719b701f1b0</t>
  </si>
  <si>
    <t>683455981bf4b3986910d64ac2029a79</t>
  </si>
  <si>
    <t>33c1b6b75d1a046973c5137abd92bf3f</t>
  </si>
  <si>
    <t>065c739f2d18fe07759e24f2870651de</t>
  </si>
  <si>
    <t>QR payment validated by admin (mjt) on 2026-04-01T15:28:57.271Z for PRN 66e35814c9f1ac73603b.</t>
  </si>
  <si>
    <t>5596b42db9639b2bd518549655cd231d</t>
  </si>
  <si>
    <t>c6fc876b53fb6f87ff02d5fa59c14450</t>
  </si>
  <si>
    <t>70942ed555c0c6ade9949de1fbb1aaf6</t>
  </si>
  <si>
    <t>e32bb9512d305ba1c45ec787c4409b0e</t>
  </si>
  <si>
    <t>84ce6b9c190f69179fbded53949f7ab1</t>
  </si>
  <si>
    <t>d9a061933240d5835b4b0be1a20e69d3</t>
  </si>
  <si>
    <t>c977db169cf4a221ab002608e5779b2f</t>
  </si>
  <si>
    <t>PARTNERS25@MTR26</t>
  </si>
  <si>
    <t>2a39024d6fa29d7799a8f02965131f9f</t>
  </si>
  <si>
    <t>72b71b28f2a8fa76337f8db67564e34b</t>
  </si>
  <si>
    <t>ARMY@MTR</t>
  </si>
  <si>
    <t>edd74f0eb8bd0aff361826721fcdfce7</t>
  </si>
  <si>
    <t>6ee042a8207aba40b0ec5f4615a8f89f</t>
  </si>
  <si>
    <t>a06e96e08d125bc488d6581e068537e4</t>
  </si>
  <si>
    <t>3f46be67a91ed8664bbbe751b310edec</t>
  </si>
  <si>
    <t>53e5f19a91566e01ee18712e08ccb535</t>
  </si>
  <si>
    <t>26f361ea4fbafd4e938da7d183f0c193</t>
  </si>
  <si>
    <t>Requested call for Patleban Resort booking.
QR payment validated by admin (prashant) on 2026-04-01T04:29:55.844Z for PRN 22907e71470723fe47f2.</t>
  </si>
  <si>
    <t>66dfc4eb39dbb70d5df875bc94e8c56c</t>
  </si>
  <si>
    <t>949daa7ab8d6a9f6e420a10604f20626</t>
  </si>
  <si>
    <t>733d731a231b415909d8f3403c39dbae</t>
  </si>
  <si>
    <t>a12c16b22df36bc3dc2eea1a0e00f27c</t>
  </si>
  <si>
    <t>f5ba2bb4967e4573c6df7a33fa1208e5</t>
  </si>
  <si>
    <t>d0c74b54280d06bbc75d977a0e1ac4b9</t>
  </si>
  <si>
    <t>e9dd2d066c598ffd25d01b071091d15e</t>
  </si>
  <si>
    <t>513f495ed2509448dfd9738c8b317ec5</t>
  </si>
  <si>
    <t>c11a5aded29fbb9ef501b66900bb413d</t>
  </si>
  <si>
    <t>50aaac5b6c5c2e75ffb17844d64314ab</t>
  </si>
  <si>
    <t>8dfa43db6a0d49236eeb89be74cdda8d</t>
  </si>
  <si>
    <t>SAARC@MTR26</t>
  </si>
  <si>
    <t>1f7305dc259d787f962c897545c9cccf</t>
  </si>
  <si>
    <t>4357fcb45f2a1b0d270408f08b1949b2</t>
  </si>
  <si>
    <t>Sabin Shrestha Shrestha</t>
  </si>
  <si>
    <t>027e6f2ddbb1efc14a13b82ecb056b2e</t>
  </si>
  <si>
    <t>bff07c59f8c71aa67a776c69b9321adf</t>
  </si>
  <si>
    <t>f420b92205f7315c478578d1ee67412e</t>
  </si>
  <si>
    <t>61335d60c4ecb9ca45f4e98ec02e2783</t>
  </si>
  <si>
    <t>cf94ee99dc014225ad2ff722d048da96</t>
  </si>
  <si>
    <t>QR payment validated by admin (prashant) on 2026-03-31T15:28:02.285Z for PRN 273bbced50040be2d6dd.</t>
  </si>
  <si>
    <t>748738e47db3839fbf03a11562850454</t>
  </si>
  <si>
    <t>093130df10ab95af8e6430b56b54ff64</t>
  </si>
  <si>
    <t>393dd6d5c3b4880791c0e9fd128428aa</t>
  </si>
  <si>
    <t>6de0fea5a195d58c5a27a47376c58fcf</t>
  </si>
  <si>
    <t>30d7af14c388af2bdfacb456bd19a3e1</t>
  </si>
  <si>
    <t>2ec5582a983d3e02ad2ed98c4fb9df02</t>
  </si>
  <si>
    <t>46b0155f3bd9df01e3ea0c72099cc9c2</t>
  </si>
  <si>
    <t>chandra rawat</t>
  </si>
  <si>
    <t>8cdf5b837a5501002af1e81e4d7f0c80</t>
  </si>
  <si>
    <t>a19ec2408adc60b8a17fbbc3a9306153</t>
  </si>
  <si>
    <t>6126f836fc42d93fb318da39dac3b42f</t>
  </si>
  <si>
    <t>fafdc65c5c7668e9e75cc2d0c1d0b4e3</t>
  </si>
  <si>
    <t>fc64f77df562a7bc0b3f76284787b2e2</t>
  </si>
  <si>
    <t>dea4841d8583ee77b0326591aa4acfe0</t>
  </si>
  <si>
    <t>e32e006cac84ea14e8ca64474ba9347d</t>
  </si>
  <si>
    <t>7fe27e626e9a97f8cc0241678326b375</t>
  </si>
  <si>
    <t>0cd0ed7f268dac836e518034018f5e3e</t>
  </si>
  <si>
    <t>ABAD ULLAH</t>
  </si>
  <si>
    <t>53b716c9a27bfa439380ff551ca55728</t>
  </si>
  <si>
    <t>65c566058f9f3dfc89c2aa25b06acdec</t>
  </si>
  <si>
    <t>4dfe110d48f86a4e5ffdca83b9310f64</t>
  </si>
  <si>
    <t>76ec224538af80da9b8e1ca0e4307687</t>
  </si>
  <si>
    <t>42886d64f76e89e6874f24161bf957a2</t>
  </si>
  <si>
    <t>Pawan Adhikari Adhikari</t>
  </si>
  <si>
    <t>d4413c3799a8db9c550a617e7c096400</t>
  </si>
  <si>
    <t>sandhya Acharya</t>
  </si>
  <si>
    <t>c3f14c45d4b8ac12a0b292b5477722a2</t>
  </si>
  <si>
    <t>76cbbb92d09d32284e76ad5b8b9cc2ed</t>
  </si>
  <si>
    <t>5afa68b7cfc4b319cf41caec4bd7e5be</t>
  </si>
  <si>
    <t>1550d12a4d82865d1db5a81dfc0edffb</t>
  </si>
  <si>
    <t>dcebc5ab34a17c10cd19765aa5bc69ac</t>
  </si>
  <si>
    <t>+9779803296206</t>
  </si>
  <si>
    <t>d552db77adb1f925077d543cf8e64f12</t>
  </si>
  <si>
    <t>a5f1fd3e6f2168789741a9e31e633198</t>
  </si>
  <si>
    <t>2df43d63539b6f51f19bccebe57cd520</t>
  </si>
  <si>
    <t>Shrijal Tamrakar Tamrakar</t>
  </si>
  <si>
    <t>ae9eb78979316eda932754f759346b73</t>
  </si>
  <si>
    <t>1e85f6f30108dea9256f8f118816bf0e</t>
  </si>
  <si>
    <t>ANURAG ROKAYA</t>
  </si>
  <si>
    <t>1997c5549379b234d91b2fd5278281ef</t>
  </si>
  <si>
    <t>9333e2fa59cef35c63f540be1633758f</t>
  </si>
  <si>
    <t>267ef6298a6f964a60cadef6b545a611</t>
  </si>
  <si>
    <t>RITURAG ROKAYA</t>
  </si>
  <si>
    <t>ARCWINNER@MTR26</t>
  </si>
  <si>
    <t>f809438dc48fe3898a4029940881d1c7</t>
  </si>
  <si>
    <t>3350dcdbdddb349d4a6881056b29c05a</t>
  </si>
  <si>
    <t>ce81ffea0172607d207a27dd0c905731</t>
  </si>
  <si>
    <t>ca9b710e08c1f965b6ac982c3c09c426</t>
  </si>
  <si>
    <t>255dfcf6a7a48f6f9a208d236a8c0bae</t>
  </si>
  <si>
    <t>cf7c936df38d21c948a8741f247b3982</t>
  </si>
  <si>
    <t>6f0a91174f710d8f310684b274978591</t>
  </si>
  <si>
    <t>41c04e8748bbca02a778004db4527fa4</t>
  </si>
  <si>
    <t>1108b275951e61f296839e9882d02736</t>
  </si>
  <si>
    <t>TAEJUN JIN</t>
  </si>
  <si>
    <t>South Korea</t>
  </si>
  <si>
    <t>e533d8e6f01b078d2055880d4dfd72f0</t>
  </si>
  <si>
    <t>da216919a443ac69317009377b1296c0</t>
  </si>
  <si>
    <t>e0a0a3db5c60b646d86af03a4460a074</t>
  </si>
  <si>
    <t>b0c291be7ed11898faeb98a8ffb62376</t>
  </si>
  <si>
    <t>c7ae4b2b5eb622d01686b5239599e184</t>
  </si>
  <si>
    <t>b499a6e28635681ff9af27ade192b00f</t>
  </si>
  <si>
    <t>cca2e3fc22fc84dc4e7a67cf85920e54</t>
  </si>
  <si>
    <t>Anonymous Supporter</t>
  </si>
  <si>
    <t>Support runner: yes
Support category: 10_km
Support amount: NPR 1500
Anonymous supporter: yes</t>
  </si>
  <si>
    <t>4de33ef961810d18b48bc843d6225044</t>
  </si>
  <si>
    <t>f3d0ca2f9449599ecdf1d5d0770ac54c</t>
  </si>
  <si>
    <t>ba0b2917e8b1880991d57f96c7420946</t>
  </si>
  <si>
    <t>RIYA SHRESTHA</t>
  </si>
  <si>
    <t>65a32bc6bc7c6dd4c13dba86f8b68958</t>
  </si>
  <si>
    <t>SUNIL GIRI</t>
  </si>
  <si>
    <t>e81208e594d04934518d8b879f81ca83</t>
  </si>
  <si>
    <t>8de7d9d874e4eca2b3b815468cc3a3e8</t>
  </si>
  <si>
    <t>7996087eab5196cc78aace2c80baff70</t>
  </si>
  <si>
    <t>db952dbf3210d6ab5f4659a76cf3fe59</t>
  </si>
  <si>
    <t>2af7c88d193d14fb7213da618b9bd04b</t>
  </si>
  <si>
    <t>9c68e4ceb9d63ca012c256cec0728766</t>
  </si>
  <si>
    <t>766e3e36b1a48ec097f081861400ad84</t>
  </si>
  <si>
    <t>2c0399b89b1e1bafffbcb3cbf6cec841</t>
  </si>
  <si>
    <t>Sofia af Hällström</t>
  </si>
  <si>
    <t>371b10e05286999a0a537ab5d5764894</t>
  </si>
  <si>
    <t>DAKAHI KYNDAIT</t>
  </si>
  <si>
    <t>4234ba68c749f8d749ae4b05fc819234</t>
  </si>
  <si>
    <t>fb8ab55a37b50d81859023efed2e1d78</t>
  </si>
  <si>
    <t>QR payment validated by admin (mahesh) on 2026-04-01T08:31:25.574Z for PRN 60e887f92d2dae48cce4.</t>
  </si>
  <si>
    <t>0d3ef58cbd5b76f414053467f7ef06c9</t>
  </si>
  <si>
    <t>a89d5842afd6b36069d25e97fc437805</t>
  </si>
  <si>
    <t>f278f7cbad7e7d2dd3ea1aa7831d1233</t>
  </si>
  <si>
    <t>10380e9da3f6976e72108b5bc57c75c5</t>
  </si>
  <si>
    <t>3923d673b8ec314d7c4c51539634adc4</t>
  </si>
  <si>
    <t>Emilie Roy de Lachaise</t>
  </si>
  <si>
    <t>a49fc9e16675b13c805feffd82492a44</t>
  </si>
  <si>
    <t>68a22ce61fcbf78b9643785b77589ebf</t>
  </si>
  <si>
    <t>3b1ff3beeaf111d76d841838a17f33e9</t>
  </si>
  <si>
    <t>3ef608ae6522ee1dbf7c07d7d76a63a0</t>
  </si>
  <si>
    <t>a77e12551ca394583a0d3dbb44f096db</t>
  </si>
  <si>
    <t>e9799f598e45e3d9652dfb941cd7103c</t>
  </si>
  <si>
    <t>50f24cd40a91c7eaff5ef544e2c38812</t>
  </si>
  <si>
    <t>a0c0d1794a8dbab0ce29b4a0231d689a</t>
  </si>
  <si>
    <t>8dda82d2282ee809f0e74f3569757bb7</t>
  </si>
  <si>
    <t>01732a7244005547e81d9ccf029c1083</t>
  </si>
  <si>
    <t>4cdcf5d14884968aa581b0008c29602a</t>
  </si>
  <si>
    <t>be79e49480bb385be57a486cadc8dbf7</t>
  </si>
  <si>
    <t>0bf26a07f2fc1067d4bdec88556f759c</t>
  </si>
  <si>
    <t>91fc05b95b8d2b70b2a0cf384d88498b</t>
  </si>
  <si>
    <t>9b0af0fcae92179b3f83d40fa1174f03</t>
  </si>
  <si>
    <t>c5e9c2648c56dbdd505c06f248829de8</t>
  </si>
  <si>
    <t>SURAJAN RAJKARNIKAR</t>
  </si>
  <si>
    <t>be50f7bd1e110f1cdec8c458bc1ba84e</t>
  </si>
  <si>
    <t>f70e80cdd23b80850fe3c64ec61ed1e9</t>
  </si>
  <si>
    <t>0553f617fd02254fb006dd327360fe78</t>
  </si>
  <si>
    <t>3a1cd5ede00571231e49a335c1646cf0</t>
  </si>
  <si>
    <t>ARMY6@MTR</t>
  </si>
  <si>
    <t>b2f9ecaf9281be3813d89b171d411b8c</t>
  </si>
  <si>
    <t>dd13de1304c61c9333763124d344a124</t>
  </si>
  <si>
    <t>16bbcdc8ed82de29201f8ccb8b1e0541</t>
  </si>
  <si>
    <t>53ab094fd30ca6de2a539c4ac9669008</t>
  </si>
  <si>
    <t>392f4d38f0a2e10a4b2dbe86d190121a</t>
  </si>
  <si>
    <t>SHREEYANS REGMI</t>
  </si>
  <si>
    <t>d2f8a4cdb164b1bbd0cf4c32990f8f28</t>
  </si>
  <si>
    <t>2724a2397f8c96d4e250c95648decb20</t>
  </si>
  <si>
    <t>91c2f4cb6c121134c5f078f20282bf94</t>
  </si>
  <si>
    <t>96de4a164453657b13ecf20a2b10c8bb</t>
  </si>
  <si>
    <t>b309b0a7c5e291982590260907a04293</t>
  </si>
  <si>
    <t>9ffbd92c562edd7ce127329912d88f55</t>
  </si>
  <si>
    <t>1928f98f5a6dff1710474ccb40e66772</t>
  </si>
  <si>
    <t>sagun rai</t>
  </si>
  <si>
    <t>b61e418369a2d21ff066f4ff0f2477df</t>
  </si>
  <si>
    <t>48127183ed5c69e807b9530401aa07fa</t>
  </si>
  <si>
    <t>1c9d35f96694ad58b7e11154d8724c16</t>
  </si>
  <si>
    <t>9300ea2f402dfbc0c2a7215de65164c5</t>
  </si>
  <si>
    <t>9dee3207a70e9e5150dded2481cb5bd1</t>
  </si>
  <si>
    <t>71b367ec13b02a4331d5391e45ce6da3</t>
  </si>
  <si>
    <t>9e308af11a7f76f475cf08dbc221cc75</t>
  </si>
  <si>
    <t>1fb8ad92975246e1e7d32765e2f6a4d2</t>
  </si>
  <si>
    <t>8d7c013d28fa9c44644a4326ba4c1b8c</t>
  </si>
  <si>
    <t>b9c7175216d05f7f3da89871d826eb7d</t>
  </si>
  <si>
    <t>a746af1ade79b9ed2c1db9d4dd308c8b</t>
  </si>
  <si>
    <t>2cb2adf2d371db4b27afe134b1f0cfea</t>
  </si>
  <si>
    <t>b911f250d54543da71c4b65ded3a12ad</t>
  </si>
  <si>
    <t>7e35539e203eab2e3defe79054c142f0</t>
  </si>
  <si>
    <t>63acef824bffb68667a6b3a32de231ec</t>
  </si>
  <si>
    <t>71ebf0dbdc7e633294d5d94ad0b21756</t>
  </si>
  <si>
    <t>ANIL KUMAR MAHARJAN</t>
  </si>
  <si>
    <t>c3547f025684309b9897d0d7836fb756</t>
  </si>
  <si>
    <t>829bdc372626a332df48c32c789bb01e</t>
  </si>
  <si>
    <t>gregory limb</t>
  </si>
  <si>
    <t>a4487227da4e52452fe33b96364dc3ee</t>
  </si>
  <si>
    <t>7b015d811cfdd4ec8d5a4d81c8871d0a</t>
  </si>
  <si>
    <t>a434ae826d614e0a12e0840a66652562</t>
  </si>
  <si>
    <t>80adb6b3754db757c33f418fd86dc2f3</t>
  </si>
  <si>
    <t>c4f380cf31bcb6827b2188c00189d4a4</t>
  </si>
  <si>
    <t>d69c6b65978e95d9d5c8b35c33baae1d</t>
  </si>
  <si>
    <t>DAWA FUTI SHERPA</t>
  </si>
  <si>
    <t>32a7925cb74cbde4ba0858b77416946d</t>
  </si>
  <si>
    <t>KHADGA BHANDARI</t>
  </si>
  <si>
    <t>TARAHARA25@MTR</t>
  </si>
  <si>
    <t>f2368118f40870ca0ebb4c3ac61d503b</t>
  </si>
  <si>
    <t>BIKRAM KHANAL</t>
  </si>
  <si>
    <t>8ed939355261f1cc4834f215995455d0</t>
  </si>
  <si>
    <t>93bef9e7335ed3db5f90ce4a3d610b36</t>
  </si>
  <si>
    <t>DIPENDRA KHAWASH BHUJEL</t>
  </si>
  <si>
    <t>a0ec2f9edfd391ece44d6928f9ab4810</t>
  </si>
  <si>
    <t>a3692bd22a2f0dbc60cb97847bc24e7a</t>
  </si>
  <si>
    <t>MIK KUMAR KHAWASH</t>
  </si>
  <si>
    <t>5d7825a2fbe7d3955f66243c1a379ac4</t>
  </si>
  <si>
    <t>SHIVA RAI</t>
  </si>
  <si>
    <t>c186d2a5f5f47b219330668807df5f08</t>
  </si>
  <si>
    <t>DEWAN PRADHAN</t>
  </si>
  <si>
    <t>7a054f3f1ef42199de4d3d11243530d0</t>
  </si>
  <si>
    <t>KISHOR KHATRI</t>
  </si>
  <si>
    <t>b4c7db5634da6b10c15bd0e4dff02ab2</t>
  </si>
  <si>
    <t>300df4f313e46b35bfe32f5b5f1aae26</t>
  </si>
  <si>
    <t>c4bc870761094e76f8119a93abd0fa66</t>
  </si>
  <si>
    <t>2031bdd32a089f1fcac811dc534b310a</t>
  </si>
  <si>
    <t>e1bedfc762975eded1323f83f293eeb5</t>
  </si>
  <si>
    <t>49253db9507cf1fa10a181354fedffd0</t>
  </si>
  <si>
    <t>b61f912da0cbe317ddf7832f9e16d74a</t>
  </si>
  <si>
    <t>Neroj Bhatta Chhetri</t>
  </si>
  <si>
    <t>6a28638452d386dc8e94a6dbfcb713ab</t>
  </si>
  <si>
    <t>849d21bca7c240e7e008c8938940cb2d</t>
  </si>
  <si>
    <t>a54172dd18a3e6160b1f02aff5744628</t>
  </si>
  <si>
    <t>5b91ec4d548a79521ba44f7d30fc13ff</t>
  </si>
  <si>
    <t>723d46ebceceff2efbc3e2d79b164923</t>
  </si>
  <si>
    <t>26a1dae72fc1f62e3d46b5a3323c0e89</t>
  </si>
  <si>
    <t>dbf09e53be317c811c05bdb5d83b34af</t>
  </si>
  <si>
    <t>c997ed479dc358597bff518ef5425424</t>
  </si>
  <si>
    <t>344b2c6d9909de98ae9f6f4853e3bd91</t>
  </si>
  <si>
    <t>54683874005892a0eb20eee46e00740b</t>
  </si>
  <si>
    <t>c8f2cac25f3c882fd86b47d1374bb646</t>
  </si>
  <si>
    <t>NARATIT TIMANO</t>
  </si>
  <si>
    <t>fba862ac9ec8f161ab5715f4bbc3941f</t>
  </si>
  <si>
    <t>Mina thapa Magar</t>
  </si>
  <si>
    <t>6b6489abd00c5b48d27813fe67e01405</t>
  </si>
  <si>
    <t>e5291844e5e02f0a11dc28656da65cec</t>
  </si>
  <si>
    <t>21e1d69833908c9f3c2caffe241d46e5</t>
  </si>
  <si>
    <t>5f1ed70e6556a131b2ccfce33d527038</t>
  </si>
  <si>
    <t>f93824ee316730a9b07ec5a4fe81e13d</t>
  </si>
  <si>
    <t>72b5b5c0a0fe5658de359a6bbb3bce9f</t>
  </si>
  <si>
    <t>76f9988961e246465315c76d29e7ae99</t>
  </si>
  <si>
    <t>11de83fa1459e9c20a30ebbe0b8de5e9</t>
  </si>
  <si>
    <t>MAYUKO Akutagawa</t>
  </si>
  <si>
    <t>108977247195e7624e241648dee8880a</t>
  </si>
  <si>
    <t>6e5db1a9998b4fdb3633f59e3f70fc13</t>
  </si>
  <si>
    <t>e250346fb63e11eddfb52360780da886</t>
  </si>
  <si>
    <t>c1fc9c28c7da87aec8313c27d73578db</t>
  </si>
  <si>
    <t>6e0302900108f71bee3865e8f1495281</t>
  </si>
  <si>
    <t>76aa70f0029de84bf0323da9fd0dd3e4</t>
  </si>
  <si>
    <t>79f0ed99d8274e6717192a1f2a1a3f13</t>
  </si>
  <si>
    <t>8c57f7d1108e1bbb468f913fdb50344a</t>
  </si>
  <si>
    <t>cc1eb46b98709e925f134d88deb8c661</t>
  </si>
  <si>
    <t>e1c6f3d88c377c65887585af167c65a1</t>
  </si>
  <si>
    <t>cd4c4b09fac32ce86808860c4ceb61ac</t>
  </si>
  <si>
    <t>Requested call for Patleban Resort booking.
QR payment validated by admin (mahesh) on 2026-03-25T10:00:30.497Z for PRN 48fd4cda138c97ac0075.</t>
  </si>
  <si>
    <t>d438efa6af0d9a2ec84452c9ea03464e</t>
  </si>
  <si>
    <t>QR payment validated by admin (mahesh) on 2026-03-25T10:00:49.340Z for PRN c65297f5f0db21afcf5f.</t>
  </si>
  <si>
    <t>6c6c74796e4685c51a5f9d9ffdd51ae2</t>
  </si>
  <si>
    <t>e2048e5c6e69a0d09087680f4bb54284</t>
  </si>
  <si>
    <t>e3a88c13c82bfa3f8858694b12bed0cb</t>
  </si>
  <si>
    <t>edbcd20ecf72aeb3ae3436712f317c8b</t>
  </si>
  <si>
    <t>e58336763a85c52f66eed8db45f3836b</t>
  </si>
  <si>
    <t>Requested call for Patleban Resort booking.
ITRA added by admin (prashant) on 2026-03-26T05:29:08.713Z: 7199390.</t>
  </si>
  <si>
    <t>835c4920f41baede2319e7a9a7215526</t>
  </si>
  <si>
    <t>+9778902010678</t>
  </si>
  <si>
    <t>643fec5a723b2a23b21e036a20b9f97c</t>
  </si>
  <si>
    <t>QR payment validated by admin (prashant) on 2026-03-25T08:03:31.173Z for PRN b6e6e74e38b804693ca6.</t>
  </si>
  <si>
    <t>19b85242dba0efbd914b2955666e84ce</t>
  </si>
  <si>
    <t>93102d1685682e4af925c916e81656e4</t>
  </si>
  <si>
    <t>49d89fdbee12bcc6aeb4ee4db63fd55f</t>
  </si>
  <si>
    <t>815aac51c389575eb5804aee12fd2243</t>
  </si>
  <si>
    <t>68b012d932a400cd3be6f2d2436e44fe</t>
  </si>
  <si>
    <t>Requested call for Patleban Resort booking.
Name updated by admin (mahesh) on 2026-04-06T04:30:19.411Z: सिता महरा -&gt; Sita Mahara.</t>
  </si>
  <si>
    <t>d9c6430bec0a0d9d5bf4f4bc504c66d5</t>
  </si>
  <si>
    <t>2ce19b94b6d7de6c5b85bdf71b97fa61</t>
  </si>
  <si>
    <t>Pukar KC</t>
  </si>
  <si>
    <t>d21c658a3f44587c147b996b01b40189</t>
  </si>
  <si>
    <t>789e32d7f337a30c7dd65c762e597817</t>
  </si>
  <si>
    <t>24f04278ea106eac1605993310c66e61</t>
  </si>
  <si>
    <t>ITRA added by admin (prashant) on 2026-03-26T08:20:46.370Z: 7202990.</t>
  </si>
  <si>
    <t>4c125d9dad2677894caeea53e03f7201</t>
  </si>
  <si>
    <t>88c29da05efab032c9f7e36616942071</t>
  </si>
  <si>
    <t>bishwash Gurung</t>
  </si>
  <si>
    <t>0b3c9c669d6c0d4a7b0b092d9814c127</t>
  </si>
  <si>
    <t>39bd7faeff9f508196f6e566b3a2b6f3</t>
  </si>
  <si>
    <t>b7a908e2c1254099cbd04bbaa36072f2</t>
  </si>
  <si>
    <t>1cf40a25168a532956c53170bf7b1ea4</t>
  </si>
  <si>
    <t>b08f5ec93fb43ac8a63c9a06049c2ad5</t>
  </si>
  <si>
    <t>932664247113c9f7d74a948d103061c8</t>
  </si>
  <si>
    <t>22ec23ed8d1369c688c1eb11da9c7a8f</t>
  </si>
  <si>
    <t>fc52ac4316d451a5a1495090d185701c</t>
  </si>
  <si>
    <t>Support runner: yes
Support category: 20_km
Support amount: USD 25
Anonymous supporter: no</t>
  </si>
  <si>
    <t>33573e948211178585b16b6f4e1314b7</t>
  </si>
  <si>
    <t>638aa64340c47640b69fe055c09e8f2d</t>
  </si>
  <si>
    <t>0c61d0cb4fe6cdee32239c665d3a6057</t>
  </si>
  <si>
    <t>d0974fc0df7140fe66b6aabd7968f5f5</t>
  </si>
  <si>
    <t>b335d4ae5aab5d2d1ab536682a00fa35</t>
  </si>
  <si>
    <t>6012cd5097e2204e5aeca133aadc0162</t>
  </si>
  <si>
    <t>fe83d30af73be364d5084bb7ba530436</t>
  </si>
  <si>
    <t>f3c70ee114f282637638697c4a27dd1e</t>
  </si>
  <si>
    <t>115411386958901141e7061a4f8ba999</t>
  </si>
  <si>
    <t>2505b811c776ca0cfd75a03ae1e2bbd0</t>
  </si>
  <si>
    <t>99dc0426290aa0c566868e05b0574772</t>
  </si>
  <si>
    <t>4220adf8cad16f608bc78b91a1cc2f6d</t>
  </si>
  <si>
    <t>292ea277790202d231ba6aa755337b2f</t>
  </si>
  <si>
    <t>40019895628ba2989a625de7c7eb0bf6</t>
  </si>
  <si>
    <t>6e00abb09941d0d78951b16e8dfadfac</t>
  </si>
  <si>
    <t>fcb3c652dffaf86e016e4c1b6d5ab704</t>
  </si>
  <si>
    <t>b29a9e5113fd77870f0824aaaf163786</t>
  </si>
  <si>
    <t>4f43d586ed947d10a65ba2b9bd69673b</t>
  </si>
  <si>
    <t>dd3c82e03bed6a39304043082f822f52</t>
  </si>
  <si>
    <t>d89023cf18f953d4f8257aa357bc8f27</t>
  </si>
  <si>
    <t>6acb8a421df5cb5fa47d1ccf8af8b51e</t>
  </si>
  <si>
    <t>405d45c7354d70b74e28ef8b84805c98</t>
  </si>
  <si>
    <t>be1e231e1f812c432e784c718facc7e0</t>
  </si>
  <si>
    <t>1c5f8a990cfb60e172414a9c78dab0e8</t>
  </si>
  <si>
    <t>73cf48c8c2f237d1236600bcb86169f2</t>
  </si>
  <si>
    <t>Som bahadur Rawat</t>
  </si>
  <si>
    <t>188c168453ca29778e41e53e97c161a0</t>
  </si>
  <si>
    <t>95cfd317a72c6d37e5e7148130cbd133</t>
  </si>
  <si>
    <t>b219b2bc33821a30d3b002490ff107c5</t>
  </si>
  <si>
    <t>QR payment validated by admin (prashant) on 2026-03-20T13:39:14.944Z for PRN 188cff5958338fd2045e.</t>
  </si>
  <si>
    <t>77ffb70a74e930b9046cce078b84e471</t>
  </si>
  <si>
    <t>73a3d112eaaf27cccdd66f84bbb2947c</t>
  </si>
  <si>
    <t>32d51f8037e5c9931bc3fbe49b7b4f78</t>
  </si>
  <si>
    <t>27a69b5fd0608f988c0adee31e3c398e</t>
  </si>
  <si>
    <t>3a624b9a118a21a67f963bfaff8d78f2</t>
  </si>
  <si>
    <t>WINNER@RT100</t>
  </si>
  <si>
    <t>285a291f9bfd7dea1dd34c8deb1eb48a</t>
  </si>
  <si>
    <t>Pujan KC</t>
  </si>
  <si>
    <t>2e2be74995f5e4cf0eb4d2cc8c19ce60</t>
  </si>
  <si>
    <t>100b2363154bb6d300d7f7034b7fec91</t>
  </si>
  <si>
    <t>d69b6d6f1f02176dbdd23250a5816237</t>
  </si>
  <si>
    <t>8b2b3a92483a60d2511de16f55d27a5d</t>
  </si>
  <si>
    <t>Requested call for Patleban Resort booking.
Support runner: yes
Support category: 100_mile
Support amount: NPR 12000
Anonymous supporter: no</t>
  </si>
  <si>
    <t>0c4e615b6b9e1b57f9e22696e4f963ab</t>
  </si>
  <si>
    <t>34f5e45b6841fe79319dfc7f13114352</t>
  </si>
  <si>
    <t>+9766211599</t>
  </si>
  <si>
    <t>77f31fdba68ad8900b82b9ea67660d48</t>
  </si>
  <si>
    <t>cfef03d215348f74a25202c34f1ae9e4</t>
  </si>
  <si>
    <t>2433217e33a2cfc858588ab3bc3f0e48</t>
  </si>
  <si>
    <t xml:space="preserve">Sri Lanka </t>
  </si>
  <si>
    <t>7f18ab8fb3d2087626a56c1357d66cc1</t>
  </si>
  <si>
    <t>2f2ca83868e4f2b053243e99649a5d3d</t>
  </si>
  <si>
    <t>8c8078b8500a3aa8e915d607d174891e</t>
  </si>
  <si>
    <t>98c0af0c923a508a78919c295f51f5da</t>
  </si>
  <si>
    <t>55388fcbbdaaee71b4a75b072190f2ba</t>
  </si>
  <si>
    <t>88b98459a227f40f632b71972bd00e12</t>
  </si>
  <si>
    <t>96e805de0467c1f649ac8afa602610b3</t>
  </si>
  <si>
    <t>60ea792b3c83237a5f2978a806c7e9a7</t>
  </si>
  <si>
    <t>4c08e9852d66c93d99ff768054609ee2</t>
  </si>
  <si>
    <t>35bf1c8c5f5b8a10690e5ceccca021e9</t>
  </si>
  <si>
    <t>2b8d548249420e7916352079c9617156</t>
  </si>
  <si>
    <t>e49d55ec854ed7dab8c4f559db745bb7</t>
  </si>
  <si>
    <t>1b5c1a037e98a045c491ac62f3318b68</t>
  </si>
  <si>
    <t>b415d7eb5c60ba13f55b7e02ee02f0f6</t>
  </si>
  <si>
    <t>e73b8dc1e1b18141d3edade18a247cba</t>
  </si>
  <si>
    <t>18d4797174417fcad2018f035b6c37f6</t>
  </si>
  <si>
    <t>f31eb10139f2eeb45c37338af2c419f0</t>
  </si>
  <si>
    <t>1a1a18768ac7b0f2ab30501d3c8eefa6</t>
  </si>
  <si>
    <t>a262a679c3b14c065658d4adc807a98a</t>
  </si>
  <si>
    <t>7aada7b4617a6c70ead57dd840bf7627</t>
  </si>
  <si>
    <t>RT100@MTR26</t>
  </si>
  <si>
    <t>Requested call for Patleban Resort booking.
ITRA added by admin (prashant) on 2026-03-26T05:31:59.291Z: 7172680.</t>
  </si>
  <si>
    <t>1107ac5a035186dfae9d6e7309c9157c</t>
  </si>
  <si>
    <t>swastika basnet</t>
  </si>
  <si>
    <t>Nicaragua</t>
  </si>
  <si>
    <t>a3b753fdf5148c02e1ddebd3892af35d</t>
  </si>
  <si>
    <t>c858c9dd83db1d48e1d132dc988bc35f</t>
  </si>
  <si>
    <t>5b11d9b0744f14db8f5fa7a6a073e121</t>
  </si>
  <si>
    <t>3b14a4dc685f513d61356738493138a7</t>
  </si>
  <si>
    <t>052cf15690555620ff38e024f0f4a0c5</t>
  </si>
  <si>
    <t>e76ce4f4349c0b751d6a7f0598a5741e</t>
  </si>
  <si>
    <t>QR payment validated by admin (mjt) on 2026-03-16T03:56:42.374Z for PRN ecbed8579fc0c3239be9.</t>
  </si>
  <si>
    <t>8335440552d56be525ae4c21f2c2179c</t>
  </si>
  <si>
    <t>ITRA added by admin (prashant) on 2026-03-26T05:29:36.050Z: 7189370.</t>
  </si>
  <si>
    <t>8e6af468d144f009f639babb60aba223</t>
  </si>
  <si>
    <t>9d3d5238aa79c0aa464ff50c07ae0d49</t>
  </si>
  <si>
    <t>PRASIDDHA MAN Dangol</t>
  </si>
  <si>
    <t>b8bc87718111862900b8a91995076e0c</t>
  </si>
  <si>
    <t>ITRA added by admin (prashant) on 2026-04-01T04:26:52.297Z: 6079136.</t>
  </si>
  <si>
    <t>d0269853744bdd83f28500d3d1be1c6b</t>
  </si>
  <si>
    <t>69961747198e388a3d4d990dc5a3fcfe</t>
  </si>
  <si>
    <t>a5e83d39f34b08b5661e174a02b1ca80</t>
  </si>
  <si>
    <t>c6a948a91089bd8b9575721bac85f6c1</t>
  </si>
  <si>
    <t>a8b2fd12ca993a2d9de8266356658e3e</t>
  </si>
  <si>
    <t>b47c08197c40d4ae6f7a92ba852e4e43</t>
  </si>
  <si>
    <t>80df8b9a8ddcd90148c3f68782843f2e</t>
  </si>
  <si>
    <t>72b845ba0f9db7a6466350b15f6c2bb9</t>
  </si>
  <si>
    <t>257bd8ebb5e22d7851e042baa50793fa</t>
  </si>
  <si>
    <t>9c7ebe91ddd87ad66a9b8cd6d5442cc4</t>
  </si>
  <si>
    <t>90a42d2128b66b7f4d0d97ca28d788e2</t>
  </si>
  <si>
    <t>5056a0055c0a3d75c8e7d667b004d93a</t>
  </si>
  <si>
    <t>557611738b2086cf3a929087bfb567ab</t>
  </si>
  <si>
    <t>280944e1a4d632d2792acbd4759e3cb4</t>
  </si>
  <si>
    <t>Biplav Shrestha Shrestha</t>
  </si>
  <si>
    <t>1d9df0eff7556556bc1a5936fcb7cdca</t>
  </si>
  <si>
    <t>c732d9c12352e401586664c8e5220a38</t>
  </si>
  <si>
    <t>Race category updated by admin (mahesh) on 2026-04-06T05:05:23.652Z: 20_km -&gt; 10_km.</t>
  </si>
  <si>
    <t>0f3f94229a098903769280c79ef4307e</t>
  </si>
  <si>
    <t>baff4f5b17cffcfcbaf6d4462ed1490a</t>
  </si>
  <si>
    <t>Race category updated by admin (mahesh) on 2026-04-04T09:45:18.108Z: 100_mile -&gt; 80_km.</t>
  </si>
  <si>
    <t>58a73e031fb79c005bbcd79f5d2b47ce</t>
  </si>
  <si>
    <t>Requested call for Patleban Resort booking.
ITRA added by admin (prashant) on 2026-03-26T05:30:04.960Z: 5075601.</t>
  </si>
  <si>
    <t>84c76b7268c56826fc177dead439e723</t>
  </si>
  <si>
    <t>e2f89d2469222d66db51bfb918a77070</t>
  </si>
  <si>
    <t>3c3aa63a131af78cd4e8c9950dbd9bf2</t>
  </si>
  <si>
    <t>ITRA ID: 4246326</t>
  </si>
  <si>
    <t>2866e1500843c385cb61b0b36e075709</t>
  </si>
  <si>
    <t>92f9f0c416fca506bfa45e19854bf858</t>
  </si>
  <si>
    <t>Gaël WASSMER</t>
  </si>
  <si>
    <t>e2f1ce4d92a802feb91dc6d575e5ebcd</t>
  </si>
  <si>
    <t>ITRA added by admin (prashant) on 2026-03-26T11:56:27.011Z: 7202969.</t>
  </si>
  <si>
    <t>5d0001f841d89f90df81a827a20e426d</t>
  </si>
  <si>
    <t>6613060d66c4e596ef7db061729a9545</t>
  </si>
  <si>
    <t>ef3cddb73b37afb725251ba47f0ccafd</t>
  </si>
  <si>
    <t>9dda04f22e8e7f9af63e75e40e8d60e2</t>
  </si>
  <si>
    <t>uday Krishna Tamrakar</t>
  </si>
  <si>
    <t>469dd21d29c0c39160d86d74768a2fdb</t>
  </si>
  <si>
    <t>a530802ced89b8e937cc647b507e2f51</t>
  </si>
  <si>
    <t>c91e4e8b4b3874477873a6cd9d13e77f</t>
  </si>
  <si>
    <t>9e73f31d6740035852bf258e85aaab0e</t>
  </si>
  <si>
    <t>71427390552e86492b55d483dfbca639</t>
  </si>
  <si>
    <t>Omshree Narasingha KC</t>
  </si>
  <si>
    <t>c698c3c9a5a8af3b7ed8f7acc9fd11a5</t>
  </si>
  <si>
    <t>cee47463bc858bd00cfdb112ff63edc9</t>
  </si>
  <si>
    <t>Nishanta Nishanta Baidhya Baidhya</t>
  </si>
  <si>
    <t>6e08d4f389d5c7cc0c92c7ca44fd9e9a</t>
  </si>
  <si>
    <t>UTSAV GHIMIRE</t>
  </si>
  <si>
    <t>00bc4c32c5c4b0d83a13c74ae1625d9d</t>
  </si>
  <si>
    <t>6e130e9656edfb42b6257c851518851c</t>
  </si>
  <si>
    <t>7d834f262031d88b864244d59d4c2d64</t>
  </si>
  <si>
    <t>shreeyans.rocks2020@gmail.com</t>
  </si>
  <si>
    <t>6b7a88c3beb171fd23ce08b9bc4e6c69</t>
  </si>
  <si>
    <t>d60f358039acda8fa34d146e6a786f0a</t>
  </si>
  <si>
    <t>efab6e3d14e0dded56f68b5a89de848d</t>
  </si>
  <si>
    <t>Yalamber subba</t>
  </si>
  <si>
    <t>ee98b665d25e759986fdf05a7a79152a</t>
  </si>
  <si>
    <t>ITRA added by admin (prashant) on 2026-03-26T05:32:23.818Z: 7172676.</t>
  </si>
  <si>
    <t>7b40116351f59e1f9eef3e241d2ff278</t>
  </si>
  <si>
    <t>0eb936ad89a637db9c2c81509c4011bf</t>
  </si>
  <si>
    <t>9d5e0026901ecdb9af2978ba96e219fe</t>
  </si>
  <si>
    <t>e6820cf29f4746d321da145169a6a915</t>
  </si>
  <si>
    <t>anjuli gurung</t>
  </si>
  <si>
    <t>Requested call for Patleban Resort booking.
ITRA added by admin (prashant) on 2026-03-26T08:08:46.184Z: 6699141.</t>
  </si>
  <si>
    <t>32d957c08a8460551b8844b673dc8a56</t>
  </si>
  <si>
    <t>375c5b0f3b86440b25cb25d4994ea260</t>
  </si>
  <si>
    <t>aef47cb082f01b7e18e5ddae29f464d4</t>
  </si>
  <si>
    <t>700ac48ae7c2257018a6da8bd2fe28a7</t>
  </si>
  <si>
    <t>6f607f1610df0eec169a5e0af8c3ce88</t>
  </si>
  <si>
    <t>ITRA added by admin (prashant) on 2026-03-26T05:30:36.247Z: 7171923.</t>
  </si>
  <si>
    <t>18391a6f6d8638c7f42f52bbcccd4465</t>
  </si>
  <si>
    <t>nga sze wong</t>
  </si>
  <si>
    <t>c04278cbabf05e91e8f263333de652a0</t>
  </si>
  <si>
    <t>bf187abb3eb9c1d92c5245435a457fe9</t>
  </si>
  <si>
    <t>9057531b93ac547f3883cd0729204b25</t>
  </si>
  <si>
    <t>Firsange sherpa</t>
  </si>
  <si>
    <t>2ae86a579de9899470ddef025375a6bb</t>
  </si>
  <si>
    <t>e7daa12ad729a3c050f9ffe6770414cf</t>
  </si>
  <si>
    <t>tulasa devi mishra</t>
  </si>
  <si>
    <t>6c97e5ce8f1f9534dd4b9e91e873edaf</t>
  </si>
  <si>
    <t>pushpa basnet</t>
  </si>
  <si>
    <t>0b455a96fe419dd97c20ec63123b68e0</t>
  </si>
  <si>
    <t>sudeep sayami</t>
  </si>
  <si>
    <t>36d77fb15f85261d72dd21af24c803b8</t>
  </si>
  <si>
    <t>2a165edd1ba3c44e618527af4143e7da</t>
  </si>
  <si>
    <t>milan Shahi</t>
  </si>
  <si>
    <t>d0f93ddbb646193eaf570c19465d648e</t>
  </si>
  <si>
    <t>ITRA added by admin (prashant) on 2026-03-26T11:55:54.675Z: 7203464.</t>
  </si>
  <si>
    <t>ba19107a51011a4b709706f428be3e1b</t>
  </si>
  <si>
    <t>Cancelled by admin.
Cancellation undone by admin.
ITRA added by admin (prashant) on 2026-03-26T05:30:58.051Z: 7171931.</t>
  </si>
  <si>
    <t>220409e6e1a7a3f7fccb4f6534dbaa5c</t>
  </si>
  <si>
    <t>a3157ef7590d69e5ea04a0cc9af44908</t>
  </si>
  <si>
    <t>ITRA added by admin (prashant) on 2026-03-26T06:01:52.942Z: 7202930.</t>
  </si>
  <si>
    <t>71fc0e1ad2a741301ad78621aa6ae153</t>
  </si>
  <si>
    <t>Requested call for Patleban Resort booking.
ITRA added by admin (prashant) on 2026-03-26T05:58:13.228Z: 7202927.</t>
  </si>
  <si>
    <t>6c6eb4fed8805e65951c4141c7b1ca52</t>
  </si>
  <si>
    <t>eafd55f4a18e9024bc98d5010a415917</t>
  </si>
  <si>
    <t>roshan shrestha</t>
  </si>
  <si>
    <t>314b90ec8e1eace834e50a61440876c7</t>
  </si>
  <si>
    <t>056b6a9458bfb82ac837bcb608a46cc5</t>
  </si>
  <si>
    <t>SUBIR SARKAR</t>
  </si>
  <si>
    <t>326929ad933589f59262c98713f47161</t>
  </si>
  <si>
    <t>1c4f914ff151b9741fd60277b30bd350</t>
  </si>
  <si>
    <t>Padam Kumari Sunuwar</t>
  </si>
  <si>
    <t>sunuwarsangita245@gmail.com</t>
  </si>
  <si>
    <t>0fe822d8827dca70f34cfdca139d1951</t>
  </si>
  <si>
    <t>16183714736cef04312a32aa5d86cdf2</t>
  </si>
  <si>
    <t>de01666498304d84100f67c7e9da2b77</t>
  </si>
  <si>
    <t>b44beeccf2762b65db00a2b3a71dce29</t>
  </si>
  <si>
    <t>26d1f351f1f9bef552272896bf2bf194</t>
  </si>
  <si>
    <t>cd8e72d957f9fb213dfbcd809205c678</t>
  </si>
  <si>
    <t>ITRA added by admin (prashant) on 2026-03-26T05:31:31.934Z: 7171993.</t>
  </si>
  <si>
    <t>206c61285f177aa2b211acfa804b9adf</t>
  </si>
  <si>
    <t>2c11fdb1ea4b10e2eeb0dd1c4f182557</t>
  </si>
  <si>
    <t>HOLI@MTR26</t>
  </si>
  <si>
    <t>67827d628dfe619b5dc51893bda3ec16</t>
  </si>
  <si>
    <t>58ccf052d492b943a8764916fcbc3b7a</t>
  </si>
  <si>
    <t>a70cd955518ec8b4e72dcd8796ddbf51</t>
  </si>
  <si>
    <t>8f63a6093e2d89f033dce10a35774bca</t>
  </si>
  <si>
    <t>c982ddecc890d5a7d9aaa6bc0784cfa2</t>
  </si>
  <si>
    <t>47bc033f2070ce8a3a4e1d46a85ec4eb</t>
  </si>
  <si>
    <t>a481b1aff075b788b43b75f125d6b9c4</t>
  </si>
  <si>
    <t>61a92fa36c05c05e61115c3333ad1f41</t>
  </si>
  <si>
    <t>8327a161039f6cd9cf8f2aaf90b969ad</t>
  </si>
  <si>
    <t>mahendra limbu phudong</t>
  </si>
  <si>
    <t>d459f68ce5093cc5e5bb396e531544a8</t>
  </si>
  <si>
    <t>eef413ca9266ad74b6e25b784f3e92e9</t>
  </si>
  <si>
    <t>623791334ec359feac4ace1109814d44</t>
  </si>
  <si>
    <t>8e0b575c3ee153223faed8dde70a786c</t>
  </si>
  <si>
    <t>bc3ac7289b02750ccbb7a0cfe0885c29</t>
  </si>
  <si>
    <t>daf65262cc2e9c1a8584f2e8831afe54</t>
  </si>
  <si>
    <t>Shailendra dhami</t>
  </si>
  <si>
    <t>2bfeeff7c956321e1a8f29243ff7219b</t>
  </si>
  <si>
    <t>cd573643916e9419e6c818381f7a07e3</t>
  </si>
  <si>
    <t>297940e2c6f721c23185458f7148e95a</t>
  </si>
  <si>
    <t>6b5086c61aec3f7620e56a36dfe0d466</t>
  </si>
  <si>
    <t>ec6292972623c374ed54a319338ce7fe</t>
  </si>
  <si>
    <t>7efa42daf8484f73084e83aad0760f50</t>
  </si>
  <si>
    <t>f29d4a70ab8553f5f4c2cccb79a37dd0</t>
  </si>
  <si>
    <t>Hom Lal shrestha</t>
  </si>
  <si>
    <t>97e09874963baaec36c7958d14fee825</t>
  </si>
  <si>
    <t>shubho kumar de</t>
  </si>
  <si>
    <t>2f28652507103a22a1c55f74fe81bdfb</t>
  </si>
  <si>
    <t>7b30e529c30e55db201f0c490054a5cb</t>
  </si>
  <si>
    <t>aad5b6c182f2beba25bf9c2c00723901</t>
  </si>
  <si>
    <t>2e2df809f63db52753f3db55be895643</t>
  </si>
  <si>
    <t>4658c7ac25a5845859d74e30e0761303</t>
  </si>
  <si>
    <t>df940843f79a787401cf35f509cc4c32</t>
  </si>
  <si>
    <t>Requested call for Patleban Resort booking.
Support runner: yes
Support category: 50_km
Support amount: NPR 7500
Anonymous supporter: yes</t>
  </si>
  <si>
    <t>891e73762a628bfede399af5129e13f7</t>
  </si>
  <si>
    <t>d5db0e87540917d21f257bd5c56cf50f</t>
  </si>
  <si>
    <t>13314cf93a490f1493907a844b9a4772</t>
  </si>
  <si>
    <t>4515a1b553319408908b52ac228a2ebb</t>
  </si>
  <si>
    <t>cc6053f792d0351b170b3874b13c6862</t>
  </si>
  <si>
    <t>62981d8f8d202e0ea14a9f18488b3958</t>
  </si>
  <si>
    <t>pramesh Malakar</t>
  </si>
  <si>
    <t>dd44ff92c09ffd93f4915e000bd50349</t>
  </si>
  <si>
    <t>1ee10201c2448f0992a5fd451026a639</t>
  </si>
  <si>
    <t>2eefa1fc7d0a1eb672df0ab603558a78</t>
  </si>
  <si>
    <t>Ac-sah Gurung</t>
  </si>
  <si>
    <t>fd809e33da5abc487e797faaff3a20bf</t>
  </si>
  <si>
    <t>ac872f1686927380f3368b5632b4c7f6</t>
  </si>
  <si>
    <t>52e8dd09fb539b0a256a68effff7ca77</t>
  </si>
  <si>
    <t>JUN YAMASHITA</t>
  </si>
  <si>
    <t>976-7983853</t>
  </si>
  <si>
    <t>b6f56c7f8e2a2fb85f8b7e7e20b1cf5f</t>
  </si>
  <si>
    <t>7dbaeb0baef575bff50c0e24d074d4fe</t>
  </si>
  <si>
    <t>703db577a1d6e82684ac5801f6a12948</t>
  </si>
  <si>
    <t>27c629f820c2e16128e139be78730acf</t>
  </si>
  <si>
    <t>8fee638b4f52e4ceedbb1a7edf139f04</t>
  </si>
  <si>
    <t>e043c2e359a011ca30bbbf1a1a27e791</t>
  </si>
  <si>
    <t>e92a4917c224483e27d78979ecbbd515</t>
  </si>
  <si>
    <t>11ffce3e7878b798aa93c65341f102bd</t>
  </si>
  <si>
    <t>Jo Chaffer</t>
  </si>
  <si>
    <t>telemarkjo@gmail.com</t>
  </si>
  <si>
    <t>MANASLU@MTR26</t>
  </si>
  <si>
    <t>Surcharge voucher: MANASLU@MTR26
Surcharge applied: 30</t>
  </si>
  <si>
    <t>8e6350261bb5352946b9fae4d5a6f5ef</t>
  </si>
  <si>
    <t>7036abd0624fc730f13f9cb2f0756cb3</t>
  </si>
  <si>
    <t>0cff89fe30592aef45ea6f88ac57bab0</t>
  </si>
  <si>
    <t>18214b2c8899e0b36cc2dac24eb6e237</t>
  </si>
  <si>
    <t>CHONTHICHA Fujiwara</t>
  </si>
  <si>
    <t>c0fa17389978bca47aa3cadd62bf24a7</t>
  </si>
  <si>
    <t>7e468a92c125dc67ae841954ec86aa17</t>
  </si>
  <si>
    <t>0e909a553765c0493de64546d69e1205</t>
  </si>
  <si>
    <t>d68e41e808b2bae85146701a2f520c92</t>
  </si>
  <si>
    <t>f45f12c51c03aac9ef049693fe61a611</t>
  </si>
  <si>
    <t>+9779867071933</t>
  </si>
  <si>
    <t>aa586d38ca8dc29a645847bbd2d67f9d</t>
  </si>
  <si>
    <t>ef198c84fc16ed90c9eae18066b70e4a</t>
  </si>
  <si>
    <t>c783fc09f5dcb4f492278643413609d0</t>
  </si>
  <si>
    <t>BISWAJIT DUTTA</t>
  </si>
  <si>
    <t>a7284739c0dff18277165ed003ca0450</t>
  </si>
  <si>
    <t>CLEMENT OOKO AKACH</t>
  </si>
  <si>
    <t>57d2de134ba7c5913575c28dc774f979</t>
  </si>
  <si>
    <t>38495be6546212189f65151a81f731f9</t>
  </si>
  <si>
    <t>f595b747db7bed2d8e98023fa888ab51</t>
  </si>
  <si>
    <t>ffd34e1b8712c6512decd1aac97b55a9</t>
  </si>
  <si>
    <t>Bijay Rana magar</t>
  </si>
  <si>
    <t>11ac2a59c85a055fcc445bee6618772e</t>
  </si>
  <si>
    <t>b271512d5647c9a7024152259a609811</t>
  </si>
  <si>
    <t>46bae77c547fa82e4f0a83d7778ad7b6</t>
  </si>
  <si>
    <t>Imported from legacy CSV on 2026-02-07.</t>
  </si>
  <si>
    <t>6ab3db6c544054bf7e42db6b8c804000</t>
  </si>
  <si>
    <t>971316ac0256e4d4145040872f6eaebf</t>
  </si>
  <si>
    <t>e7310c6a8536f64209cc91a485dc500a</t>
  </si>
  <si>
    <t>Diwakar Budha magar</t>
  </si>
  <si>
    <t>d55ce46d4f4dea888f4fcbc9784cfae6</t>
  </si>
  <si>
    <t>LUDOVIC EVRARD</t>
  </si>
  <si>
    <t>eb320b108f428efb996aeed2a2c79357</t>
  </si>
  <si>
    <t>5038ff209299256d25940c5e170d7de9</t>
  </si>
  <si>
    <t>rajesh Gc</t>
  </si>
  <si>
    <t>9f14934e9acbee8a4dbf49613a3d3be7</t>
  </si>
  <si>
    <t>e8985a85413b35740dec0446569d7542</t>
  </si>
  <si>
    <t>Jen bajracharya</t>
  </si>
  <si>
    <t>fc9b7ae56cb1a1ec3369a9c63dac66c2</t>
  </si>
  <si>
    <t>Dhruv rai</t>
  </si>
  <si>
    <t>741b213314b8c8b2dcba700e6e0c5565</t>
  </si>
  <si>
    <t>784085a2f9d16867e87a95fc36b46d30</t>
  </si>
  <si>
    <t>62e5a2b9aa7c8df1b2611b28e5831b3e</t>
  </si>
  <si>
    <t>8c13c94781bef6deaeb1bc62f0455764</t>
  </si>
  <si>
    <t>yoshihisa yasuda</t>
  </si>
  <si>
    <t>f1700ffa56039971173f4428312a14f2</t>
  </si>
  <si>
    <t>100867d4564de38ac632c3d00b38d6bd</t>
  </si>
  <si>
    <t>f0159cdbe6115ca2511e5ced881acb63</t>
  </si>
  <si>
    <t>kapilmaun@gmail.com</t>
  </si>
  <si>
    <t>26f5750393b227c1432575f4ff1b8cc4</t>
  </si>
  <si>
    <t>00c7815360ff458ca0371a5912912cb6</t>
  </si>
  <si>
    <t>MD Fazle Rabby Chowdhury</t>
  </si>
  <si>
    <t>9010a00f594304d15fd0ccdebf52fc48</t>
  </si>
  <si>
    <t>6c1f09e2abd8f17fa9a41e0e2a08ff14</t>
  </si>
  <si>
    <t>33614daacade46c2e43ea2567c12782d</t>
  </si>
  <si>
    <t>TOWFIQUE ELAHE</t>
  </si>
  <si>
    <t>13fdda84c99135f595fa249ddefbb1b3</t>
  </si>
  <si>
    <t>b2220ea1eea92f106ed4ae542d858d36</t>
  </si>
  <si>
    <t>+8801845242418</t>
  </si>
  <si>
    <t>794cd7b710106692da193e01e8c627fb</t>
  </si>
  <si>
    <t>c52b4ab5fb3ff71290666fbc7cfaea76</t>
  </si>
  <si>
    <t>85a9b5599c5950895966ebdecc49918e</t>
  </si>
  <si>
    <t>57b6ac55a18c34164e07445ac072f01a</t>
  </si>
  <si>
    <t>36c802d8870bb8fb3362449d676c1a8e</t>
  </si>
  <si>
    <t>Sudeep Kandel</t>
  </si>
  <si>
    <t>sudeep896@gmail.com</t>
  </si>
  <si>
    <t>19477f8feb3be3176ea30876e95152fb</t>
  </si>
  <si>
    <t>5eabb43ba5adf4627fb33aaef72f0e1d</t>
  </si>
  <si>
    <t>c230c70456898b66c75c45dcb5c394ab</t>
  </si>
  <si>
    <t>d2edefc240bebd491fd3a189ba43e573</t>
  </si>
  <si>
    <t>6bb5e0de7739c6edba9567e0e2a168df</t>
  </si>
  <si>
    <t>Meelina Shrestha</t>
  </si>
  <si>
    <t>meelinashrestha111@gmail.com</t>
  </si>
  <si>
    <t>c431b00f338ba7f60ebdb38c25542a7d</t>
  </si>
  <si>
    <t>liu yi cong</t>
  </si>
  <si>
    <t>674854e2578907ad5beec798214103aa</t>
  </si>
  <si>
    <t>39ceb3cce8698194c94d575ad5c5af4e</t>
  </si>
  <si>
    <t>b296f8380884ccff07a8c50eac03634d</t>
  </si>
  <si>
    <t>9f46a970b855ee9a8c4b31c41514339a</t>
  </si>
  <si>
    <t>0bc4e77c3ee20b9b055a12a2e41546c9</t>
  </si>
  <si>
    <t>4fafa6d009797a32d6699ac1489e9d73</t>
  </si>
  <si>
    <t>6af795406ab2a336efab95da16cdd9eb</t>
  </si>
  <si>
    <t>c4c9706106e58c34c9942b999d67f4be</t>
  </si>
  <si>
    <t>KAZUYA Fujiwara</t>
  </si>
  <si>
    <t>dfc828a45c38043b3165656debf9dab6</t>
  </si>
  <si>
    <t>b41a354cc8bc2d43bce21fa41af3e0a3</t>
  </si>
  <si>
    <t>8348b1fcf36e96dd35fc3dbf91cccee4</t>
  </si>
  <si>
    <t>+33630182957</t>
  </si>
  <si>
    <t>62304ef6734c871e3f6055f3b1e0ec8f</t>
  </si>
  <si>
    <t>+33604024277</t>
  </si>
  <si>
    <t>4903ca4280b0e2f209ef1da325f2b4bd</t>
  </si>
  <si>
    <t>Vietnam</t>
  </si>
  <si>
    <t>0691cf733f260caaf9e8b016f6256435</t>
  </si>
  <si>
    <t>00ffce475e4547b072217d0cc0a453fd</t>
  </si>
  <si>
    <t>manish jung thapa</t>
  </si>
  <si>
    <t>MJT2000</t>
  </si>
  <si>
    <t>Cancelled by admin.
Cancellation undone by admin.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</si>
</sst>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yyyy-mm-dd"/>
    <numFmt numFmtId="167" formatCode="yyyy-mm-dd 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b/>
      <color rgb="FF0000FF"/>
      <name val="Arial"/>
      <scheme val="minor"/>
    </font>
    <font>
      <b/>
      <color theme="1"/>
      <name val="Arial"/>
      <scheme val="minor"/>
    </font>
    <font>
      <color rgb="FF980000"/>
      <name val="Arial"/>
      <scheme val="minor"/>
    </font>
    <font>
      <color rgb="FF6AA84F"/>
      <name val="Arial"/>
      <scheme val="minor"/>
    </font>
    <font>
      <color rgb="FF134F5C"/>
      <name val="Arial"/>
      <scheme val="minor"/>
    </font>
    <font>
      <color rgb="FF000000"/>
      <name val="Arial"/>
      <scheme val="minor"/>
    </font>
    <font>
      <color rgb="FFF1C232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11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3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9" numFmtId="3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3" xfId="0" applyFont="1" applyNumberFormat="1"/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FI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05" sheet="FINAL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</sharedItems>
    </cacheField>
    <cacheField name="name" numFmtId="0">
      <sharedItems>
        <s v="Komal Kc"/>
        <s v="Bhim Kumari Pariyar"/>
        <s v="Shweta Dubey"/>
        <s v="Uki Singh"/>
        <s v="Urvi Agrawal"/>
        <s v="Sandhya Acharya"/>
        <s v="Shandipta Rai"/>
        <s v="Riya Shrestha"/>
        <s v="Ruja Awal"/>
        <s v="Anchita Bhimsaria"/>
        <s v="Pritisha Shrestha"/>
        <s v="Aariya Manandhar"/>
        <s v="Adeline Dahal"/>
        <s v="Shibika Poudel"/>
        <s v="Bijaya Gyawali"/>
        <s v="Luja Mathema"/>
        <s v="Dawa Futi Sherpa"/>
        <s v="Sangita Sharma"/>
        <s v="Pragya Subedi"/>
        <s v="Chandani Gurung"/>
        <s v="Mina Thapa Magar"/>
        <s v="Karsal Lama"/>
        <s v="Mikely Karmacharya"/>
        <s v="Momika Shrestha"/>
        <s v="Susmita Shrestha"/>
        <s v="Shraddha Suman Bajracharya"/>
        <s v="Sita Mahara"/>
        <s v="Januka Rai"/>
        <s v="Swastika Rai"/>
        <s v="Amrita Kumari Pantha"/>
        <s v="Rama Prajapati"/>
        <s v="Binu Khapung"/>
        <s v="Sumitra Chitrakar"/>
        <s v="Sharada Chhetri"/>
        <s v="Durga Thapa Magar"/>
        <s v="Geizing Sherpa"/>
        <s v="Nikita Khadgi"/>
        <s v="Nita Khadgi"/>
        <s v="Aaraju Khadka"/>
        <s v=" Anjali Subba Manandhar"/>
        <s v="Swastika Basnet"/>
        <s v="Najia Razawi"/>
        <s v="Eva Gaderer"/>
        <s v="Auriane Deborah Rose Meilland"/>
        <s v="Paulina Campos Monteros"/>
        <s v="Farzana Khan"/>
        <s v="Catherine Coleing"/>
        <s v="Catherine Quigley"/>
        <s v="Krishna Dev Uprety"/>
        <s v="Nagendra Dhoj Larki"/>
        <s v="Sailendra Sharma"/>
        <s v="Rupak Lal Joshi"/>
        <s v="Deepak Lal Joshi"/>
        <s v="Rohit Mahato"/>
        <s v="Tamoi Fujii Fujii"/>
        <s v="Shaubhagya Jung Khadka"/>
        <s v="Sushant Ale Magar"/>
        <s v="Samir Ali Dewan"/>
        <s v="Hitler Rai"/>
        <s v="Bigyan Tandukar"/>
        <s v="Bishram Dahal"/>
        <s v="Aakrit Dahal"/>
        <s v="Krishna Maharjan"/>
        <s v="Ramesh Shrestha"/>
        <s v="Sichu Shakya"/>
        <s v="Sabin Shrestha"/>
        <s v="Karun Shrestha"/>
        <s v="Rojesh Bajracharya"/>
        <s v="Amash Rai"/>
        <s v="Pawan Adhikari"/>
        <s v="Abhinav Budhathoki"/>
        <s v="Rupesh Shrestha"/>
        <s v="Shrijal Tamrakar"/>
        <s v="Bishad Koju"/>
        <s v="Nabin Ghimire"/>
        <s v="Harris Gurung"/>
        <s v="Siddharth Prajapati"/>
        <s v="Bisesh Giri"/>
        <s v="Jonas Campos Monteros"/>
        <s v="Sunil Giri"/>
        <s v="Dinesh Malla"/>
        <s v="Saunak Malla"/>
        <s v="Sujan Shrestha"/>
        <s v="Swet Ghimire"/>
        <s v="Subash Ram Shrestha"/>
        <s v="Mukesh Maharjan"/>
        <s v="Surajan Rajkarnikar"/>
        <s v="Ranjeev Lal Kayastha"/>
        <s v="Prem Bahadur Sunuwar"/>
        <s v="Aayush Bajracharya"/>
        <s v="Sajil Sharma"/>
        <s v="Saugat Kafley"/>
        <s v="Ankit Singh Hamal"/>
        <s v="Utkrista Ghimire"/>
        <s v="Suprim Dahal"/>
        <s v="Tej Lamichhane"/>
        <s v="Sulabh Bikram Silwal"/>
        <s v="Suraj Shrestha"/>
        <s v="Pukar Kc"/>
        <s v="Jeevan Tamang"/>
        <s v="Bishwash Gurung"/>
        <s v="Sushant Gurung"/>
        <s v="Ujjwal Singh Thakuri"/>
        <s v="Dr. Bhagabat Bhattarai"/>
        <s v="Bishal Kumar Thakur"/>
        <s v="Abinath Phadera"/>
        <s v="Aakash Jarga Magar"/>
        <s v="Juju Kaji Maharjan"/>
        <s v="Utsav Bajracharya"/>
        <s v="Dinesh Katwal"/>
        <s v="Suresh Tamang"/>
        <s v="Samip Adhikari"/>
        <s v="Siddhant Thapa Magar"/>
        <s v="Ek Lal Neupane"/>
        <s v="Sushil Sahi"/>
        <s v="Raju Maharjan"/>
        <s v="Surya Khapung"/>
        <s v="Prem Bahadur Chand"/>
        <s v="Yam Bahadur Thapa"/>
        <s v="Dor Bahadur Yogi"/>
        <s v="Yog Bahadur Gurung"/>
        <s v="Suresh Shrestha"/>
        <s v="Bimal Aryal"/>
        <s v="Kush Rai"/>
        <s v="Chitra Chhantel"/>
        <s v="Anish Rajkarnikar"/>
        <s v="Rohan Manandhar"/>
        <s v="Rakesh Pradhan"/>
        <s v="Anil Lal Shrestha"/>
        <s v="Sohel Shrestha"/>
        <s v="Swayam Dhakal"/>
        <s v="Utsav Ghimire"/>
        <s v="Firsange Sherpa"/>
        <s v="Sajan Mahat"/>
        <s v="Krishal Karmacharya"/>
        <s v="Mahendra Limbu Phudong"/>
        <s v="Bishal Shakya"/>
        <s v="Tshering Lama"/>
        <s v="Simon Chaudhary"/>
        <s v="Saugat R.C."/>
        <s v="Nabin Rai"/>
        <s v="Robert Bichler"/>
        <s v="Ankur Kumar"/>
        <s v="Dhruv Rai"/>
        <s v="Eilif Sandvik"/>
        <s v="Maximilian Ritzmann"/>
        <s v="Naratit Timano"/>
        <s v="Chandra B Chhantel"/>
        <s v="Sanjay Rijal"/>
        <s v="Huang Li Li"/>
        <s v="Raghav Na Sarawagi"/>
        <s v="Shivani Sarawagi"/>
        <s v="Vaibhav Sarawagi"/>
        <s v="Rajani Kc"/>
        <s v="Akendra Chalaune"/>
        <s v="Chandra Dangol"/>
        <s v="Santosh Nath Karmacharya"/>
        <s v="Rakesh Manandhar"/>
        <s v="Subin Poudel"/>
        <s v="Merlin Mercer"/>
        <s v="Utsah Pandey"/>
        <s v="Hriday Bir Pradhan"/>
        <s v="Shankar Shah"/>
        <s v="Tuva Marie Skaar"/>
        <s v="Abhishek Lama"/>
        <s v="Puja Basnet"/>
        <s v="Akriti Bista"/>
        <s v="Prativa Pandey"/>
        <s v="Johanne Reimer"/>
        <s v="Anju Maharjan"/>
        <s v="Muna Limbu"/>
        <s v="Kimberly Kay Tanguay"/>
        <s v="Bidhya Maharjan"/>
        <s v="Megha Rani Chhetri"/>
        <s v="Tsering Tengi Bhote"/>
        <s v="Passang Dolma Gurung"/>
        <s v="Ashmita Thapa"/>
        <s v="Rubina Pandey"/>
        <s v="Sarita Sapkota"/>
        <s v="Sandiba Budha"/>
        <s v="Divya Khanal"/>
        <s v="Rubina Tuladhar"/>
        <s v="Kalpana Tamang Syangtan"/>
        <s v="Tulasa Devi Mishra"/>
        <s v="Pushpa Basnet"/>
        <s v="Diyaa C"/>
        <s v="Ac-Sah Gurung"/>
        <s v="Tania Tani Khairi"/>
        <s v="Di Peng"/>
        <s v="Sofia Af Hällström"/>
        <s v="Emilie Roy De Lachaise"/>
        <s v="Bénédicte Paule Françoise Blot"/>
        <s v="Lena Michaels"/>
        <s v="Ichha Agarwal"/>
        <s v="Marie Eggen Norloeff"/>
        <s v="Dorota Smigowska"/>
        <s v="Klara Berggren"/>
        <s v="Chonthicha Fujiwara"/>
        <s v="Kate Heinrich- Jones"/>
        <s v="Monet Izabeth"/>
        <s v="Gwendolyn Shafer"/>
        <s v="Erica Meeks"/>
        <s v="Durgesh Maharjan"/>
        <s v="Surendra Shrestha"/>
        <s v="Erish Ghimire"/>
        <s v="Shaarav Lal Shrestha"/>
        <s v="Dhruba Regmee"/>
        <s v="Mohit Maharjan"/>
        <s v="Rabindra Subba Limbu"/>
        <s v="Deep Narshing Rayamajhi"/>
        <s v="Karma Wangchuk Gurung"/>
        <s v="Sumit Kumar Ale"/>
        <s v="Samihang Rai"/>
        <s v="Prabal Shumsher Thapa"/>
        <s v="Vinayak Jayasree"/>
        <s v="Emil Kalep Schneiders"/>
        <s v="Kabin Byanjankar"/>
        <s v="Bhupendra Tiruwa"/>
        <s v="Tulsi Bahadur Awale"/>
        <s v="Sudip Pokharel"/>
        <s v="Netra Bahadur Thapa"/>
        <s v="Tsering Tashi Lama"/>
        <s v="Pragyadeep Shah"/>
        <s v="Umesh Rokaya"/>
        <s v="Manjil Malla"/>
        <s v="Arya Bikram Rana"/>
        <s v="Sankoch Rai"/>
        <s v="Sunny Parajuli"/>
        <s v="Nima Tasi Sherpa"/>
        <s v="Bardan Thapa"/>
        <s v="Sonish Sthapit"/>
        <s v="Gaurav Manandhar"/>
        <s v="Shubham Shrestha"/>
        <s v="Anant Murarka"/>
        <s v="Pasang Namgyal Sherpa"/>
        <s v="Paaras Golchha"/>
        <s v="Ayush Shilpakar"/>
        <s v="Dayjen Shrestha"/>
        <s v="Amin Lama"/>
        <s v="Raja Mahatara"/>
        <s v="Dr.Ganesh Lal Shakya"/>
        <s v="Sujen Shakya"/>
        <s v="Deepak Tamang"/>
        <s v="Pranay Shrestha"/>
        <s v="Aavash Shrestha"/>
        <s v="Pranav Raj Singh Dangol"/>
        <s v="Sameer Man Gurung"/>
        <s v="Silas Tashi"/>
        <s v="Sujal Kumar Mehta"/>
        <s v="Sushan Maharjan"/>
        <s v="John Magar"/>
        <s v="Hussain Bolt"/>
        <s v="Rastra Raj Bhandari"/>
        <s v="Hari Prasad Adhikari"/>
        <s v="Shant Kumar Mehta"/>
        <s v="Rocky Prajapati"/>
        <s v="Conner Klaus Tanguay"/>
        <s v="Sagun Rai"/>
        <s v="Vivek Shumsher Thapa"/>
        <s v="Shaaambhav Bhattarai"/>
        <s v="Itihang Limbu"/>
        <s v="Saurya Maharjan"/>
        <s v="Nick Maharjan"/>
        <s v="Britix Maharjan"/>
        <s v="Raj Gyawali"/>
        <s v="Anil Kumar Maharjan"/>
        <s v="Nayan Shrestha"/>
        <s v="Khadga Bhandari"/>
        <s v="Dipendra Khawash Bhujel"/>
        <s v="Kishor Khatri"/>
        <s v="Tenzin Gyatso Lama"/>
        <s v="Adhiraj Pun"/>
        <s v="Avishek Shrestha"/>
        <s v="Renaya Raut"/>
        <s v="Abhijeet Rai"/>
        <s v="Shreyans Kumar Choraria"/>
        <s v="Passang Tenzin Gurung"/>
        <s v="Tsering Furba Lama"/>
        <s v="Jebin Gautam"/>
        <s v="Sunny Lama"/>
        <s v="Suresh Raj Shakya"/>
        <s v="Chandan Tamrakar"/>
        <s v="Winner Man Maharjan"/>
        <s v="Saugat Poudyal"/>
        <s v="Zeta Lageju"/>
        <s v="Pukar Man Gurung"/>
        <s v="Manish Shrestha"/>
        <s v="Pushing Tamang"/>
        <s v="Alok Kafle"/>
        <s v="Vishwadeep Moktan"/>
        <s v="Alok Pokharel"/>
        <s v="Prakash Sedhai"/>
        <s v="Bipin Tamang"/>
        <s v="Rubin Tamakar"/>
        <s v="Shrabin Maharjan"/>
        <s v="Suyesh Sainju"/>
        <s v="Shashank Shrestha"/>
        <s v="Prashant Khatri"/>
        <s v="Binay Shrestha"/>
        <s v="Saugat Rijal"/>
        <s v="Anil Sthapit"/>
        <s v="Biplav Shrestha"/>
        <s v="Arun Subba"/>
        <s v="Samrat Pandey"/>
        <s v="Uday Krishna Tamrakar"/>
        <s v="Omshree Narasingha Kc"/>
        <s v="Eric Laurin Wezel"/>
        <s v="Yalamber Subba"/>
        <s v="Rumit Shrestha"/>
        <s v="Bishal Maharjan"/>
        <s v="Prabin Maharjan"/>
        <s v="Rahul Yadav"/>
        <s v="Rakshyak Shrestha"/>
        <s v="Basu Nepal"/>
        <s v="Sudeep Sayami"/>
        <s v="Taman Isbo"/>
        <s v="Milan Shahi"/>
        <s v="Amir Singh"/>
        <s v="Bikesh Shakya"/>
        <s v="Isor Gurung"/>
        <s v="Koshish Shrestha"/>
        <s v="Roshan Shrestha"/>
        <s v="Nebin Giri"/>
        <s v="Sanjaya Poudel"/>
        <s v="Rojan Baniya"/>
        <s v="Shreejal Kumar Gupta"/>
        <s v="Suyesh Singh"/>
        <s v="Ameen Tamang"/>
        <s v="Riwaj Prajapati"/>
        <s v="Shailendra Dhami"/>
        <s v="Bickey Maharjan"/>
        <s v="Anup Shrestha"/>
        <s v="Sushil Kumar Kandoi"/>
        <s v="Santosh Khatri"/>
        <s v="Kiran K Kunwar"/>
        <s v="Bishav Narshing Rajbhandari"/>
        <s v="Sunil Bahadur Thapa Magar"/>
        <s v="Abhishek Sarangkoti Sarangkoti"/>
        <s v="Kiran Kunwar Kumar Kunwar"/>
        <s v="Manish Jung Thapa"/>
        <s v="Gunjan Shrestha"/>
        <s v="Simon Ernst"/>
        <s v="Sebastian Braumueller"/>
        <s v="Gregory Limb"/>
        <s v="Suraj Sujan Yadav"/>
        <s v="Simone Balzarini"/>
        <s v="Aksel Haugen Madslien"/>
        <s v="Grzegorz Smigowski"/>
        <s v="Taejun Jin"/>
        <s v="Dharma Gurung"/>
        <s v="Mateo Graif"/>
        <s v="Kritarth Bista"/>
        <s v="Yash Bahadur Shah"/>
        <s v="Pasang Sherpa"/>
        <s v="Mukti Bodh Neupane"/>
        <s v="Prakritartha Ghimire"/>
        <s v="Puru Bahadur Ghale"/>
        <s v="Raj Gora"/>
        <s v="Ramesh Budha"/>
        <s v="Bishal Bahadur Tamang"/>
        <s v="Norbu Tamang"/>
        <s v="Prithvi Jung Khadka"/>
        <s v="Jonas Grønli"/>
        <s v="Jessica Himelfarb"/>
        <s v="Torrey Langdon"/>
        <s v="Rahul Rawal"/>
        <s v="Riya Suryabanshi"/>
        <s v="Nisha Maharjan"/>
        <s v="Puspa Serma"/>
        <s v="Manju Sunuwar"/>
        <s v="Noshin Sharmili"/>
        <s v="Sayeda Fatmi Warda"/>
        <s v="Vanja Cnops"/>
        <s v="Susanne Novak"/>
        <s v="Nga Sze Wong"/>
        <s v="Wandashisha Dewkhaid"/>
        <s v="Rakhee Rai"/>
        <s v="Nangkiewsuki Slong"/>
        <s v="Madhurima Mahapatra"/>
        <s v="Pooja Pooja"/>
        <s v="Kiudamliu Gangmei"/>
        <s v="Mayuko Akutagawa"/>
        <s v="Elise Weiskopf"/>
        <s v="Vincere Zeng"/>
        <s v="Balkrishna Chaulagain"/>
        <s v="Santos Tamang"/>
        <s v="Parbat Rai"/>
        <s v="Rajip Maharjan"/>
        <s v="Sunil Maharjan"/>
        <s v="Laxmi Lal Awale"/>
        <s v="Bikram Man Maharjan"/>
        <s v="Sujit Maharjan"/>
        <s v="Bipin Jung Basnet"/>
        <s v="Suraj Kumar Dura"/>
        <s v="Himal Kunwar"/>
        <s v="Sandeva Budha"/>
        <s v="Chandra Rawat"/>
        <s v="Basanta Rijal"/>
        <s v="Suman Khadka"/>
        <s v="Anurag Rokaya"/>
        <s v="Riturag Rokaya"/>
        <s v="Nirmal Banjara"/>
        <s v="Saujan Pandhak"/>
        <s v="Kapil Chaulagain"/>
        <s v="Mingmar Tamang"/>
        <s v="Prayum Maharjan"/>
        <s v="Romik Gosai"/>
        <s v="Chhiring Ongmu Sherpa"/>
        <s v="Bishal Rai"/>
        <s v="Madan Subedi"/>
        <s v="Dewan Pradhan"/>
        <s v="Dan Thapa"/>
        <s v="Bishal Thulung Rai"/>
        <s v="Lhakpa Gyalbu Sherpa"/>
        <s v="Unique Karki"/>
        <s v="Deependra Giri"/>
        <s v="Sandip Tamang"/>
        <s v="Rabin Jung Thapa"/>
        <s v="Yubak Raj"/>
        <s v="Raj Maharjan"/>
        <s v="Som Bahadur Rawat"/>
        <s v="Pujan Kc"/>
        <s v="Sandeep Khadka"/>
        <s v="Dhira Bahadur Budha"/>
        <s v="Pratap Thamsuhang"/>
        <s v="Prasiddha Man Dangol"/>
        <s v="Shekhar Thapaliya"/>
        <s v="Ajay Bhatta"/>
        <s v="Binesh Tuladhar"/>
        <s v="Rajan Limbu"/>
        <s v="Pratik Bhuju"/>
        <s v="Lokendra Rai"/>
        <s v="Kancha Ghale"/>
        <s v="Shiva Raj Tamang"/>
        <s v="Lakim Dahal"/>
        <s v="Nayan Manandhar"/>
        <s v="Nishesh Maharjan"/>
        <s v="Rajendra Bhomjan"/>
        <s v="Hom Lal Shrestha"/>
        <s v="Ashok Maharjan"/>
        <s v="Buddhi Ram Gurung"/>
        <s v="Malakar Pramesh"/>
        <s v="Pramesh Malakar"/>
        <s v="Pramod Rai"/>
        <s v="Man Kumar Roka Magar"/>
        <s v="Ram Bhakta Maharjan"/>
        <s v="Nusi Hang Limbu"/>
        <s v="Yuvraj Gurung"/>
        <s v="Diwakar Budha Magar"/>
        <s v="Rajesh Gc"/>
        <s v="Jen Bajracharya"/>
        <s v="Sudeep Shakya"/>
        <s v="Sushil Pakhrin Tamang"/>
        <s v="Aayush Shikrakar"/>
        <s v="Prashant Shrestha"/>
        <s v="Suman Basnet"/>
        <s v="Binod Bhatt"/>
        <s v="Suyog Poudyal"/>
        <s v="Gyanendra Subedi"/>
        <s v="Kumar Regmi"/>
        <s v="Saiful Islam"/>
        <s v="Shuvo Afridi"/>
        <s v="Ludovic Evrard"/>
        <s v="Ahim Baral"/>
        <s v="Emil Theodor Eisert"/>
        <s v="Subir Sarkar"/>
        <s v="Ratheesh M.A."/>
        <s v="Sourav Ray"/>
        <s v="Saibal Koley"/>
        <s v="Aman Mahaboob Saheb Nadaf"/>
        <s v="Shingo Abe"/>
        <s v="Kazuya Fujiwara"/>
        <s v="Roman Evarts"/>
        <s v="David Groves"/>
        <s v="Kumar Bikram Regmi"/>
        <s v="Raj Prakash Pradhan"/>
        <s v="Suman Dahal"/>
        <s v="Prakash Chakraborty"/>
        <s v="Bibek Sunuwar"/>
        <s v="Santa Gaha Magar"/>
        <s v="Biplab Prajapati"/>
        <s v="Sagar Shrestha"/>
        <s v="Hemant Shrestha"/>
        <s v="Manju Rawat"/>
        <s v="Anjali Neupane"/>
        <s v="Gita Maharjan"/>
        <s v="Seema Kumari Chaudhary"/>
        <s v="Kalpana Budha"/>
        <s v="Sanisapan Sanwa Limbu"/>
        <s v="Anjuli Gurung"/>
        <s v="Dil Kala Kulung"/>
        <s v=" SAVAGE Tara Renee"/>
        <s v="Ang Furba Sherpa"/>
        <s v="Anita Rai"/>
        <s v="Isabelle Bedard"/>
        <s v="Stine Heiselberg"/>
        <s v="Sumana Debnath"/>
        <s v="Chiyuki Mochizuki"/>
        <s v="Yasuyo Hotta"/>
        <s v="Anne Mai Baan"/>
        <s v="Sally Rebecca Moulds"/>
        <s v="Sonya Martin"/>
        <s v="Prashish Pradhan"/>
        <s v="Arihant Bothra"/>
        <s v="Arjun Sah"/>
        <s v="Srijan Ayer"/>
        <s v="Bibhusan Bista"/>
        <s v="Anjan Bhandari"/>
        <s v="Ganesh Pandey"/>
        <s v="Uchit Aryal"/>
        <s v="Mokshyak Amatya"/>
        <s v="Dhana Bahadur Rana"/>
        <s v="Abhishek Subedi"/>
        <s v="Bharat Gurung"/>
        <s v="Anupam Bista"/>
        <s v="Prazol Bista"/>
        <s v="Ashok Gurung"/>
        <s v="Arbin Shrestha"/>
        <s v="Harshotsav Jalan"/>
        <s v="Shreeyans Regmi"/>
        <s v="Prasanga Kadel"/>
        <s v="Bishnu Bidari"/>
        <s v="Pancharam Budha"/>
        <s v="Shaktiram Roka"/>
        <s v="Chitij Kulung Rai"/>
        <s v="Manoj Kumar Shah"/>
        <s v="Milan Kulung Rai"/>
        <s v="Milan Tamang"/>
        <s v="Sher Bahadur Tharu"/>
        <s v="Clement Ooko Akach"/>
        <s v="Bijay Rana Magar"/>
        <s v="Nirmal Lamsal"/>
        <s v="Ranjit Rai"/>
        <s v="Keshar Jang Ale"/>
        <s v="Sushant Khatri"/>
        <s v="Arjun Rai Kulung"/>
        <s v="Abad Ullah"/>
        <s v="S M Sawan Shariar"/>
        <s v="Partho Saha"/>
        <s v="Mohammad Arif-Uz-Zaman"/>
        <s v="Md Fazle Rabby Chowdhury"/>
        <s v="Surjadoy Talukder"/>
        <s v="Liu Yi Cong"/>
        <s v="Ruoheng Mo"/>
        <s v="Flavien Bascoul"/>
        <s v="Gaël Wassmer&#10;"/>
        <s v="Edgar Gourdin"/>
        <s v="Pritam Rai"/>
        <s v="Jyotishko Biswas"/>
        <s v="Soumyadip Mondal"/>
        <s v="Biswajit Dutta"/>
        <s v="Girish Hemashettar"/>
        <s v="Shubham Rakesh Sharma"/>
        <s v="Sumit Kumar Singh"/>
        <s v="Yuki Naotori"/>
        <s v="Hiroki Yoshikawa"/>
        <s v="Jun Yamashita"/>
        <s v="Titas Rai"/>
        <s v="Taito Yasukochi"/>
        <s v="Ramon Tano Resurreccion Jr"/>
        <s v="Thang Huu Hoang"/>
        <s v="Yoshihisa Yasuda"/>
        <s v="Dakahi Kyndait"/>
        <s v="Alexandra Wrigley"/>
        <s v="Ajaya Tamang"/>
        <s v="Dawa Tamang"/>
        <s v="Dhira Budha"/>
        <s v="Grishma Darai"/>
        <s v="Surya Raj Rai"/>
        <s v="Bikram Khanal"/>
        <s v="Min Kumar Khawash"/>
        <s v="Shiva Rai"/>
        <s v="Niroj Bhatta Chhetri"/>
        <s v="Sijan Koju"/>
        <s v="Saket Kunwar"/>
        <s v="Shivendra Shah"/>
        <s v="Bhishma Raj Shigu"/>
        <s v="Nabin Khadka"/>
        <s v="Season Adhikari"/>
        <s v="Sanjib Thapa"/>
        <s v="Tas Bahadur Gurung"/>
        <s v="Harendra Kumar Chaudhary"/>
        <s v="Nishanta Baidhya"/>
        <s v="Bibek Adhikari"/>
        <s v="Subhash Nepali"/>
        <s v="Ubin Malla"/>
        <s v="Gopal Lama"/>
        <s v="Rajeev Ranjan Singh"/>
        <s v="Ashutosh Rai"/>
        <s v="Shubho Kumar De"/>
        <s v="Towfique Elahe"/>
        <s v="Samuel Antoine Stéphan"/>
        <s v="Baskar Mundan"/>
        <s v="Aniket Roy"/>
        <s v="Kelvindiran Ularkanazan"/>
        <s v="Mario Raymund Ortega Yap"/>
        <s v="Billi Bierling"/>
        <s v="Krishna Bhattarai"/>
        <s v="Bishal Paudyal"/>
        <s v="Sai Kumar Rai"/>
      </sharedItems>
    </cacheField>
    <cacheField name="country" numFmtId="0">
      <sharedItems>
        <s v="Nepal"/>
        <s v="Afghanistan"/>
        <s v="Austria"/>
        <s v="France"/>
        <s v="Germany"/>
        <s v="Sri Lanka"/>
        <s v="United Kingdom of Great Britain and Northern Ireland"/>
        <s v="United States of America"/>
        <s v="India"/>
        <s v="Norway"/>
        <s v="Switzerland"/>
        <s v="Thailand"/>
        <s v="China"/>
        <s v="Finland"/>
        <s v="Poland"/>
        <s v="Sweden"/>
        <s v="Australia"/>
        <s v="Italy"/>
        <s v="Korea, Republic of"/>
        <s v="Bangladesh"/>
        <s v="Belgium"/>
        <s v="Hong Kong"/>
        <s v="Japan"/>
        <s v="Netherlands, Kingdom of the"/>
        <s v="Singapore"/>
        <s v="Latvia"/>
        <s v="Canada"/>
        <s v="Denmark"/>
        <s v="Philippines"/>
        <s v="Viet Nam"/>
        <s v="Malaysia"/>
      </sharedItems>
    </cacheField>
    <cacheField name="Column 13" numFmtId="0">
      <sharedItems>
        <s v="NP"/>
        <s v="AF"/>
        <s v="AT"/>
        <s v="FR"/>
        <s v="DE"/>
        <s v="LK"/>
        <s v="GB"/>
        <s v="US"/>
        <s v="IN"/>
        <s v="NO"/>
        <s v="CH"/>
        <s v="TH"/>
        <s v="CN"/>
        <s v="FI"/>
        <s v="PL"/>
        <s v="SE"/>
        <s v="AU"/>
        <s v="IT"/>
        <s v="KR"/>
        <s v="BD"/>
        <s v="BE"/>
        <s v="HK"/>
        <s v="JP"/>
        <s v="NL"/>
        <s v="SG"/>
        <s v="LV"/>
        <s v="CA"/>
        <s v="DK"/>
        <s v="PH"/>
        <s v="VN"/>
        <s v="MY"/>
      </sharedItems>
    </cacheField>
    <cacheField name="phone">
      <sharedItems containsBlank="1" containsMixedTypes="1" containsNumber="1" containsInteger="1">
        <n v="9.813034988E9"/>
        <s v="+9779851100221"/>
        <n v="9.701422912E9"/>
        <n v="9.851234E9"/>
        <n v="9.810109339E9"/>
        <n v="9.849848385E9"/>
        <n v="9.823429109E9"/>
        <n v="9.818123204E9"/>
        <s v="+977 9863039569"/>
        <s v="+9779802034662"/>
        <s v="+977 9840028722"/>
        <n v="9.851078369E9"/>
        <s v="+977 9843936424"/>
        <n v="9.866193321E9"/>
        <n v="9.867935474E9"/>
        <n v="9.851123179E9"/>
        <s v="+9779801028898"/>
        <n v="9.829226557E9"/>
        <n v="9.861220983E9"/>
        <n v="9.803132936E9"/>
        <n v="9.803497984E9"/>
        <n v="9.816084276E9"/>
        <n v="9.86347926E9"/>
        <n v="9.843200086E9"/>
        <n v="9.843085348E9"/>
        <n v="9.808046553E9"/>
        <n v="9.866291019E9"/>
        <n v="9.86167E9"/>
        <n v="9.81429655E8"/>
        <n v="9.713525247E9"/>
        <s v="+9779851107911"/>
        <s v="+9779851054142"/>
        <s v="+9779802039362"/>
        <s v="+9779801094332"/>
        <s v="+9779803212887"/>
        <s v="+9779705421007"/>
        <n v="9.861549962E9"/>
        <n v="9.861549956E9"/>
        <n v="9.860469551E9"/>
        <m/>
        <n v="9.813177689E9"/>
        <s v="+977 9802375379"/>
        <n v="9.808974732E9"/>
        <n v="9.709035287E9"/>
        <n v="9.703755265E9"/>
        <s v="+97794777356937"/>
        <s v="+6588895378"/>
        <s v="+16037288917"/>
        <n v="9.85125421E9"/>
        <n v="9.851133926E9"/>
        <s v="+977 985-1067166"/>
        <n v="9.70508565E9"/>
        <n v="9.840050562E9"/>
        <n v="9.823340217E9"/>
        <n v="9.713259492E9"/>
        <n v="9.768759049E9"/>
        <n v="9.863655106E9"/>
        <n v="9.847907268E9"/>
        <n v="9.861854358E9"/>
        <s v="+9779860851150"/>
        <n v="9.849645166E9"/>
        <s v="+9779841396787"/>
        <s v="+9779848249515"/>
        <n v="9.843614856E9"/>
        <n v="9.841837188E9"/>
        <n v="9.861538501E9"/>
        <n v="9.841413824E9"/>
        <n v="9.84024382E9"/>
        <s v="+9779841699844"/>
        <s v="+9779803052712"/>
        <n v="9.708580053E9"/>
        <s v="+9779813776021"/>
        <n v="9.843803484E9"/>
        <s v="+9779841014781"/>
        <s v="+9779841052762"/>
        <n v="9.866299405E9"/>
        <s v="+9779761823763"/>
        <n v="9.761886543E9"/>
        <s v="+977 9706936677"/>
        <n v="9.822100035E9"/>
        <n v="9.843516421E9"/>
        <n v="9.761116107E9"/>
        <n v="9.860016834E9"/>
        <n v="9.841294588E9"/>
        <n v="9.843268112E9"/>
        <n v="9.864111717E9"/>
        <s v="+9779743977981"/>
        <s v="+9779843819025"/>
        <s v="+9779849186697"/>
        <s v="+9779863632806"/>
        <n v="9.744230183E9"/>
        <n v="9.865191278E9"/>
        <n v="9.861797915E9"/>
        <n v="9.84669111E9"/>
        <n v="9.86081027E9"/>
        <s v="+9779851052800"/>
        <n v="9.746428585E9"/>
        <n v="9.823475929E9"/>
        <n v="9.819160548E9"/>
        <n v="9.863790332E9"/>
        <n v="9.860079032E9"/>
        <n v="9.849529947E9"/>
        <n v="9.81320321E9"/>
        <n v="9.851050299E9"/>
        <n v="9.841188686E9"/>
        <n v="9.81484881E9"/>
        <s v="+449761682796"/>
        <s v="+977 9763694876"/>
        <n v="9.76724401E9"/>
        <s v="+9779851107925"/>
        <s v="+9779802039230"/>
        <s v="+9779858052950"/>
        <s v="+9779841775423"/>
        <s v="+9779851035287"/>
        <s v="+9779851107924"/>
        <s v="+9779801244523"/>
        <n v="9.849622244E9"/>
        <n v="9.765346808E9"/>
        <n v="9.809641004E9"/>
        <n v="9.85108565E9"/>
        <n v="9.851343115E9"/>
        <s v="+9779865102956"/>
        <n v="9.869836255E9"/>
        <n v="9.76179178E9"/>
        <n v="9.861290604E9"/>
        <s v="+9779869354385"/>
        <s v="+9779860031880"/>
        <n v="9.844288985E9"/>
        <s v="+9779851340774"/>
        <n v="9.861879731E9"/>
        <n v="9.844820933E9"/>
        <n v="9.745463926E9"/>
        <s v="+977 9808974736"/>
        <n v="9.851107008E9"/>
        <s v="+918826049421"/>
        <s v="+977 9713495268"/>
        <s v="+977 985 140 60 59"/>
        <s v="+066826232667"/>
        <s v="+9779851058048"/>
        <n v="9.705535139E9"/>
        <n v="9.80827844E9"/>
        <n v="9.813677087E9"/>
        <s v="+977 9808292651"/>
        <n v="9.779713761646E12"/>
        <s v="+9779748350677"/>
        <n v="9.841560974E9"/>
        <s v="+9779802100347"/>
        <s v="44 7918 607930"/>
        <n v="9.808498378E9"/>
        <n v="9.823013138E9"/>
        <n v="9.842397094E9"/>
        <n v="9.713986087E9"/>
        <s v="+9779808370972"/>
        <n v="9.840252837E9"/>
        <s v="+977 9861527459"/>
        <s v="+9779860777401"/>
        <s v="+9779713883192"/>
        <n v="9.849087216E9"/>
        <n v="9.762921244E9"/>
        <n v="9.803406582E9"/>
        <n v="9.808429768E9"/>
        <n v="9.923440299E9"/>
        <n v="9.861900586E9"/>
        <n v="9.86148405E9"/>
        <n v="9.860082381E9"/>
        <n v="9.851151295E9"/>
        <s v="+9779768300954"/>
        <n v="9.767555574E9"/>
        <n v="9.863328545E9"/>
        <n v="9.765149456E9"/>
        <n v="9.841834791E9"/>
        <n v="9.851101747E9"/>
        <s v="+9779828066011"/>
        <n v="9.81619229E9"/>
        <n v="9.803335508E9"/>
        <s v="+393716202812"/>
        <s v="+358443565495"/>
        <n v="9.810072983E9"/>
        <s v="+336302957"/>
        <n v="9.819356609E9"/>
        <s v="+919711854664"/>
        <s v="+4799437593"/>
        <s v="+48511146921"/>
        <n v="9.81065007E9"/>
        <s v="+66884443532"/>
        <s v="+9779767653406"/>
        <s v="+19788559920"/>
        <n v="9.704583667E9"/>
        <n v="9.801003025E9"/>
        <n v="9.808397088E9"/>
        <n v="9.851159785E9"/>
        <n v="9.818888569E9"/>
        <s v="+9779851044128"/>
        <n v="9.851111082E9"/>
        <n v="9.860980344E9"/>
        <n v="9.763523926E9"/>
        <n v="9.960167881E9"/>
        <n v="9.861032899E9"/>
        <s v="+9779841070073"/>
        <n v="9.860183285E9"/>
        <n v="9.851078728E9"/>
        <s v="+91 9036855776"/>
        <n v="9.765000902E9"/>
        <n v="9.841609414E9"/>
        <n v="9.808292692E9"/>
        <n v="9.841214829E9"/>
        <n v="9.814658054E9"/>
        <n v="9.851012752E9"/>
        <n v="9.823716503E9"/>
        <n v="9.828136746E9"/>
        <n v="9.848313617E9"/>
        <n v="9.748261185E9"/>
        <s v="+9779862573162"/>
        <n v="9.862179627E9"/>
        <s v="+9779745692259"/>
        <s v="982-6756544"/>
        <s v="+9779807888434"/>
        <n v="9.851193016E9"/>
        <s v="+9779801028359"/>
        <s v="+9779810140141"/>
        <n v="9.813256819E9"/>
        <n v="9.828064989E9"/>
        <s v="+9779801090727"/>
        <n v="9.705427543E9"/>
        <n v="9.82278432E9"/>
        <n v="9.817096696E9"/>
        <n v="9.86062868E9"/>
        <s v="+449818649321"/>
        <n v="9.849224477E9"/>
        <n v="9.764827022E9"/>
        <n v="9.862617421E9"/>
        <n v="9.810263871E9"/>
        <n v="9.869758114E9"/>
        <n v="9.860138121E9"/>
        <n v="9.808245674E9"/>
        <n v="9.847359359E9"/>
        <n v="9.803993223E9"/>
        <n v="9.81611977E9"/>
        <n v="9.841312601E9"/>
        <s v="+9779849477477"/>
        <n v="9.84149396E9"/>
        <n v="9.851096806E9"/>
        <n v="9.841604578E9"/>
        <n v="9.70808103E9"/>
        <n v="9.841992271E9"/>
        <n v="9.801045823E9"/>
        <n v="9.841699311E9"/>
        <n v="9.816990716E9"/>
        <n v="9.768411099E9"/>
        <s v="976-8446585"/>
        <n v="9.74181287E9"/>
        <n v="9.851021985E9"/>
        <s v="+9779851225046"/>
        <n v="9.744235645E9"/>
        <s v="+977 9815321077"/>
        <s v="+977 985-2090886"/>
        <s v="+977 9804357134"/>
        <n v="9.866014893E9"/>
        <n v="9.767255328E9"/>
        <s v="+9779803409425"/>
        <n v="9.702024342E9"/>
        <n v="9.823824358E9"/>
        <n v="9.803136548E9"/>
        <n v="9.86188598E9"/>
        <n v="9.851064802E9"/>
        <n v="9.851045454E9"/>
        <s v="+9779849638841"/>
        <n v="9.860824909E9"/>
        <n v="9.861586722E9"/>
        <n v="9.863462629E9"/>
        <s v="+9779823513446"/>
        <s v="+977 9745966035"/>
        <s v="+9779766886163"/>
        <s v="+9779713520802"/>
        <s v="+977-9860960331"/>
        <n v="9.851199202E9"/>
        <s v="+9779849076973"/>
        <s v="+9779803646231"/>
        <n v="9.861111108E9"/>
        <n v="9.843018355E9"/>
        <s v="+9779843056754"/>
        <n v="9.843085838E9"/>
        <n v="9.840539844E9"/>
        <s v="+9779841242041"/>
        <s v="+9779818637151"/>
        <n v="9.861965633E9"/>
        <s v="+9779841856153"/>
        <s v="+9779818046854"/>
        <s v="+977 9841166755"/>
        <s v="+9779748308877"/>
        <n v="9.855097777E9"/>
        <n v="9.813591849E9"/>
        <n v="9.843612873E9"/>
        <s v="+977 9860087029"/>
        <s v="+977 986171144"/>
        <n v="9.843857682E9"/>
        <n v="9.863012526E9"/>
        <n v="9.8607223E9"/>
        <n v="9.860874992E9"/>
        <s v="+9779843460537"/>
        <n v="9.81104897E9"/>
        <s v="+9779866815114"/>
        <n v="9.843219309E9"/>
        <s v="+9779861606111"/>
        <n v="9.841457107E9"/>
        <s v="+9779863336676"/>
        <n v="9.841978669E9"/>
        <n v="9.817095123E9"/>
        <n v="9.818217003E9"/>
        <n v="9.802397055E9"/>
        <n v="9.808814025E9"/>
        <s v="+977 9808838780"/>
        <n v="9.767251986E9"/>
        <n v="9.861930112E9"/>
        <s v="976-4440232"/>
        <n v="9.851208528E9"/>
        <n v="9.851049084E9"/>
        <s v="+9779807272097"/>
        <n v="9.849575565E9"/>
        <n v="9.846552609E9"/>
        <s v="+9779803346687"/>
        <n v="9.745446878E9"/>
        <n v="9.867423831E9"/>
        <s v="+9779860644497"/>
        <s v="+61433637262"/>
        <n v="9.700047869E9"/>
        <s v="+9779744961116"/>
        <n v="9.761424559E9"/>
        <s v="+91 90490 62322"/>
        <s v="+4793649854"/>
        <s v="+9779803608601"/>
        <s v="+447861575152"/>
        <n v="9.802010678E9"/>
        <n v="9.801999646E9"/>
        <n v="9.818411584E9"/>
        <n v="9.818939108E9"/>
        <n v="9.851173568E9"/>
        <n v="9.841639858E9"/>
        <n v="9.866297683E9"/>
        <n v="9.765063465E9"/>
        <n v="9.865164046E9"/>
        <n v="9.824190318E9"/>
        <s v="986-0670501"/>
        <n v="9.713986088E9"/>
        <n v="9.809887283E9"/>
        <s v="+9779860133215"/>
        <n v="9.843676789E9"/>
        <n v="9.841991415E9"/>
        <n v="9.803034442E9"/>
        <s v="+8801813147438"/>
        <s v="+8801321125707"/>
        <s v="+6586641687"/>
        <s v="+9779713731725"/>
        <s v="+85296072693"/>
        <n v="9.18730952149E11"/>
        <n v="9.06456965E9"/>
        <s v="+91 9863757011"/>
        <s v="+917908323368"/>
        <s v="+919988111572"/>
        <s v="+91 9312655562"/>
        <s v="+977-9709711893"/>
        <s v="+9779851102251"/>
        <s v="+6597393008"/>
        <n v="9.851152844E9"/>
        <n v="9.862244267E9"/>
        <n v="9.713540998E9"/>
        <n v="9.841741817E9"/>
        <n v="9.851106247E9"/>
        <n v="9.851130882E9"/>
        <n v="9.849192257E9"/>
        <n v="9.851127788E9"/>
        <n v="9.748284828E9"/>
        <n v="9.813447644E9"/>
        <n v="9.745643812E9"/>
        <n v="9.84830049E9"/>
        <n v="9.84215618E9"/>
        <n v="9.868636682E9"/>
        <n v="9.851118842E9"/>
        <n v="9.861706619E9"/>
        <n v="9.742407889E9"/>
        <n v="9.84918317E9"/>
        <n v="9.822794687E9"/>
        <n v="9.841496701E9"/>
        <n v="9.81021694E9"/>
        <n v="9.841700302E9"/>
        <s v="+9779861488873"/>
        <s v="+9779863974160"/>
        <n v="9.762364068E9"/>
        <n v="9.804257789E9"/>
        <n v="9.81334983E8"/>
        <n v="9.851125922E9"/>
        <s v="+9779769036898"/>
        <n v="9.841413179E9"/>
        <s v="+9779761770631"/>
        <n v="9.823695196E9"/>
        <s v="+9779766386660"/>
        <s v="+9779841201397"/>
        <n v="9.86913322E9"/>
        <s v="+9779849399058"/>
        <s v="+97719766389673"/>
        <n v="9.82495481E9"/>
        <n v="9.86032347E9"/>
        <n v="9.843450074E9"/>
        <n v="9.841376975E9"/>
        <s v="+9779813809444"/>
        <s v="+9779815006169"/>
        <s v="+977 9841542868"/>
        <s v="+9779749940282"/>
        <s v="986-7694989"/>
        <n v="9.86059859E9"/>
        <n v="9.845978411E9"/>
        <n v="9.851111358E9"/>
        <n v="9.818444033E9"/>
        <n v="9.855012042E9"/>
        <s v="+9779846071155"/>
        <n v="9.841207504E9"/>
        <s v="986-259-7589"/>
        <n v="9.851046299E9"/>
        <n v="9.823606791E9"/>
        <n v="9.828761674E9"/>
        <n v="9.766241409E9"/>
        <s v="+9779851086723"/>
        <n v="9.767271895E9"/>
        <n v="9.763378293E9"/>
        <s v="+9779745248786"/>
        <n v="9.742338475E9"/>
        <n v="9.851125444E9"/>
        <n v="9.841451852E9"/>
        <n v="9.851164779E9"/>
        <n v="9.818671492E9"/>
        <n v="9.841256989E9"/>
        <s v="+9779802323301"/>
        <n v="9.8627145E9"/>
        <n v="9.860940702E9"/>
        <n v="9.8510675E9"/>
        <s v="+9779851160511"/>
        <s v="+8801836999165"/>
        <s v="+8801750681319"/>
        <s v="+66657160519"/>
        <n v="9.85103553E9"/>
        <n v="9.765000903E9"/>
        <s v="+919647111624"/>
        <s v="+91 9746778783"/>
        <s v="+91-9674715111"/>
        <s v="+919804085406"/>
        <s v="+918884447129"/>
        <s v="+818071126174"/>
        <s v="+66854818862"/>
        <s v="+447476140828"/>
        <n v="9.803607349E9"/>
        <n v="9.851045745E9"/>
        <n v="9.743973304E9"/>
        <n v="7.679409757E9"/>
        <s v="+9779845836297"/>
        <s v="977 985-1035530"/>
        <s v="+9779851178228"/>
        <n v="9.851140894E9"/>
        <n v="9.76234424E9"/>
        <n v="9.764266193E9"/>
        <n v="9.84044993E9"/>
        <s v="+619745615407"/>
        <s v="+977 9826758453"/>
        <n v="9.766211599E9"/>
        <n v="9.813332585E9"/>
        <n v="9.803036481E9"/>
        <n v="9.862954553E9"/>
        <n v="9.749214274E9"/>
        <n v="9.806521867E9"/>
        <s v="+601111306926"/>
        <n v="9.85104967E9"/>
        <s v="+91 9932590745"/>
        <s v="+819045934013"/>
        <s v="+818022679072"/>
        <n v="9.707473903E9"/>
        <n v="9.81828076E9"/>
        <s v="+9779802010678"/>
        <n v="9.767305623E9"/>
        <n v="9.808898985E9"/>
        <n v="9.805963372E9"/>
        <s v="+9779869574488"/>
        <s v="+9779802056847"/>
        <n v="9.857039307E9"/>
        <n v="9.841627262E9"/>
        <n v="9.860799347E9"/>
        <n v="9.807472931E9"/>
        <n v="9.861165051E9"/>
        <n v="9.741835386E9"/>
        <n v="9.748274852E9"/>
        <s v="+9779851186633"/>
        <n v="9.860810611E9"/>
        <n v="9.801150478E9"/>
        <s v="+9779843620348"/>
        <n v="9.81037155E9"/>
        <n v="9.869044509E9"/>
        <n v="9.841737438E9"/>
        <n v="9.849899496E9"/>
        <n v="9.76724615E9"/>
        <n v="9.745915792E9"/>
        <n v="9.76748902E8"/>
        <s v="+977-9808085862"/>
        <s v="+9779848651712"/>
        <n v="9.863537253E9"/>
        <n v="9.84954084E9"/>
        <s v="+254798204718"/>
        <n v="9.841038062E9"/>
        <n v="9.858423303E9"/>
        <n v="9.864461512E9"/>
        <n v="9.703149666E9"/>
        <n v="9.818809717E9"/>
        <n v="9.86339853E9"/>
        <s v="+8801688719436"/>
        <n v="8.801912301814E12"/>
        <n v="1.701064089E9"/>
        <s v="+8801516124059"/>
        <s v="+8801911422298"/>
        <n v="1.845242418E9"/>
        <s v="+86 17318514810"/>
        <s v="+8613620053062"/>
        <s v="+33609011279"/>
        <s v="+977 976-7947870"/>
        <s v="+33750409587"/>
        <s v="+917432831227"/>
        <s v="+91 9126413749"/>
        <s v="+919804043353"/>
        <s v="+918584071770"/>
        <s v="91-9141652236"/>
        <s v="+919638958724"/>
        <s v="+81 7083195550"/>
        <s v="+81 90 6421 7558"/>
        <s v="976−7983853"/>
        <n v="9.816975275E9"/>
        <n v="8.19095682586E11"/>
        <s v="+971561389135"/>
        <s v="+84916361389"/>
        <s v="+819023646642"/>
        <s v="+918730845162"/>
        <n v="9.808384545E9"/>
        <n v="9.840250585E9"/>
        <n v="9.851313193E9"/>
        <n v="9.764615405E9"/>
        <n v="9.863967716E9"/>
        <s v="+977 9810191419"/>
        <s v="+977 9803218462"/>
        <s v="+977 9818636487"/>
        <n v="9.86443979E8"/>
        <n v="9.823143429E9"/>
        <n v="9.803073542E9"/>
        <s v="+9779851155035"/>
        <s v="+9779851189686"/>
        <n v="9.808038269E9"/>
        <n v="9.84380505E9"/>
        <s v="+9779813844275"/>
        <n v="9.869942698E9"/>
        <n v="9.819752369E9"/>
        <n v="9.851206543E9"/>
        <n v="9.828728626E9"/>
        <s v="+9778851128013"/>
        <s v="+9779841350171"/>
        <n v="9.845387766E9"/>
        <s v="+977-9841376867"/>
        <n v="9.804382464E9"/>
        <s v="+8801962424535"/>
        <s v="+8801711579097"/>
        <s v="+33630667876"/>
        <s v="+6581659442"/>
        <s v="+91 7044208622"/>
        <s v="+60148570016"/>
        <s v="+63 917 186 1358"/>
        <s v="+49162 7003494"/>
        <n v="9.841074176E9"/>
        <s v="+9779811201458"/>
        <n v="9.842361329E9"/>
      </sharedItems>
    </cacheField>
    <cacheField name="email" numFmtId="0">
      <sharedItems containsBlank="1">
        <s v="hello.komalkc@gmail.com"/>
        <s v="bkpariyar@unicef.org"/>
        <s v="shwetagautam303@gmail.com"/>
        <s v="itsmeukisingh@gmail.com"/>
        <s v="urvi.adguru@gmail.com"/>
        <s v="acharyasandhya02@gmail.com"/>
        <s v="ershandipta@gmail.com"/>
        <s v="shresthareeya125@gmail.com"/>
        <s v="awalruja2016@gmail.com"/>
        <s v="anchitabhimsaria@gmail.com"/>
        <s v="pritishashresthaa24@gmail.com"/>
        <s v="kesmanandhar@gmail.com"/>
        <s v="adeline.dahal@gmail.com"/>
        <s v="hereshibs@gmail.com"/>
        <s v="bijayaagyawali@gmail.com"/>
        <s v="mathemadayal91@gmail.com"/>
        <s v="dawafsherpa@gmail.com"/>
        <s v="rsangitasharma016@gmail.com"/>
        <s v="pragya868@hotmail.com"/>
        <s v="chandanigrg18@gmail.com"/>
        <s v="purnimamagar31@gmail.com"/>
        <s v="lamakarsal82@gmail.com"/>
        <s v="mikelysairam06@gmail.com"/>
        <s v="shr.momika@gmail.com"/>
        <s v="sthas2003@gmail.com"/>
        <s v="shraddha.bajrchrya@gmail.com"/>
        <s v="sitaot7@gmail.com"/>
        <s v="janurai1@gmail.com"/>
        <s v="raiswastika71@gmail.com"/>
        <s v="panthaamrita8@gmail.com"/>
        <s v="rmaharjan@unicef.org"/>
        <s v="skhapung@unicef.org"/>
        <s v="suchitrakar@unicef.org"/>
        <s v="schhetri@unicef.org"/>
        <s v="dtmagar@unicef.org"/>
        <s v="gsherpa@unicef.org"/>
        <s v="nickeytaa48@gmail.com"/>
        <s v="nitakhadgi48@gmail.com"/>
        <s v="arzukhadka7135@gmail.com"/>
        <m/>
        <s v="basnets1999@gmail.com"/>
        <s v="razawi@unicef.org"/>
        <s v="eva.gaderer@gmx.at"/>
        <s v="meilland.auriane@gmail.com"/>
        <s v="pablinko@gmail.com"/>
        <s v="fjaleel@unicef.org"/>
        <s v="catherine_62@hotmail.com"/>
        <s v="catherine.page.quigley@gmail.com"/>
        <s v="criss_dev@yahoo.com"/>
        <s v="karkinagendradhoj@gmail.com"/>
        <s v="Sharmasailendra63@yahoo.com"/>
        <s v="rupaklaljoshi@gmail.com"/>
        <s v="hakookale@gmail.com"/>
        <s v="mahatorohit28@gmail.com"/>
        <s v="tamoifujii@gmail.com"/>
        <s v="alesushantmagar@gmail.com"/>
        <s v="dewansamir321@gmail.com"/>
        <s v="thukparai@gmail.com"/>
        <s v="bigyantandukar1312@gmail.com"/>
        <s v="transmitn@gmail.com"/>
        <s v="aakritdahal23@gmail.com"/>
        <s v="maharjan10@gmail.com"/>
        <s v="ramess.pragya@gmail.com"/>
        <s v="sichooz@gmail.com"/>
        <s v="shresthasabin184@gmail.com"/>
        <s v="karunkop@gmail.com"/>
        <s v="rojesh.bajracharya007@gmail.com"/>
        <s v="amashchhahari14@gmail.com"/>
        <s v="adhi.pawan@gmail.com"/>
        <s v="abhinavchettrirock3218@gmail.com"/>
        <s v="shrestharupesh02@gmail.com"/>
        <s v="shrijaltamrakar@gmail.com"/>
        <s v="kojubishad@gmail.com"/>
        <s v="ghinabin@gmail.com"/>
        <s v="h.gurung1@gmail.com"/>
        <s v="sidpraz63@gmail.com"/>
        <s v="giri.bisesh1@gmail.com"/>
        <s v="camposjo@pm.me"/>
        <s v="girisunil928@gmail.com"/>
        <s v="saunakmalla12@gmail.com"/>
        <s v="saunakmalla96@gmail.com"/>
        <s v="sujanshrestha2074@gmail.com"/>
        <s v="swetghimire47@gmail.com"/>
        <s v="subashraja7@gmail.com"/>
        <s v="muku47@gmail.com"/>
        <s v="surajanrk@gmail.com"/>
        <s v="ranjeevkayastha@gmail.com"/>
        <s v="santosh.bramicha@gmail.com"/>
        <s v="aayushh17@gmail.com"/>
        <s v="sajil.sharma@gmail.com"/>
        <s v="saugatkafley@gmail.com"/>
        <s v="ankeethamal5271@gmail.com"/>
        <s v="ghimireutkrista06@gmail.com"/>
        <s v="suprimdahal777@gmail.com"/>
        <s v="mrdoggos555444@gmail.com"/>
        <s v="sulabhsilwal007@gmail.com"/>
        <s v="suraj.s@ptas.com.np"/>
        <s v="pukar.kc2050@gmail.com"/>
        <s v="dr.jeevan.anesthesia@gmail.com"/>
        <s v="bishwasgurung21@gmail.com"/>
        <s v="sushantgurung085@gmail.com"/>
        <s v="ujjwal.thakuri.86@gmail.com"/>
        <s v="bhattarai_5@hotmail.com"/>
        <s v="buddhasyangtan.cyf@gmail.com"/>
        <s v="kajijuju@hotmail.com"/>
        <s v="utsav12390@gmail.com"/>
        <s v="medineshkatwal@gmail.com"/>
        <s v="sureswaiba7@gmail.com"/>
        <s v="thrill.shrink@gmail.com"/>
        <s v="siddhantmagar737@gmail.com"/>
        <s v="cchhantel@unicef.og"/>
        <s v="ssahi@unicef.org"/>
        <s v="prchand@unicef.org"/>
        <s v="ythapa@unicef.org"/>
        <s v="dyogi@unicef.org"/>
        <s v="ybgurung@unicef.org"/>
        <s v="sushrestha@unicef.org"/>
        <s v="anish.rajkarnikar4@gmail.com"/>
        <s v="rohan.manandhar10@gmail.com"/>
        <s v="pradhan.rakes@gmail.com"/>
        <s v="anillal97@gmail.com"/>
        <s v="sohelshrestha04@gmail.com"/>
        <s v="swayamdhakal@gmail.com"/>
        <s v="ghimireutsav795@gmail.com"/>
        <s v="sherpafursange123@gmail.com"/>
        <s v="sajanmahat491@gmail.com"/>
        <s v="krishalkarmacharya2@gmail.com"/>
        <s v="boyzb4flwrbeck7@gmail.com"/>
        <s v="shakyabishal067@gmail.com"/>
        <s v="lamatshering23@gmail.com"/>
        <s v="simonchaudhary8848@gmail.com"/>
        <s v="saugatrc01@hotmail.com"/>
        <s v="raijekii58@gmail.com"/>
        <s v="robert@deepertravel.de"/>
        <s v="cena.ace@gmail.com"/>
        <s v="dhruvrai13@gmail.com"/>
        <s v="eilif.sandvik01@gmail.com"/>
        <s v="maximilianritzmann@gmail.com"/>
        <s v="paradox_com@hotmail.com"/>
        <s v="cchhantel@unicef.org"/>
        <s v="sarijal@unicef.org"/>
        <s v="848784132@qq.com"/>
        <s v="rsarawagi2006@gmail.con"/>
        <s v="shivanisarawagi1999@gmail.com"/>
        <s v="Vaibhavsarawagi2006@gmail.Com"/>
        <s v="kcrajani13@gmail.com"/>
        <s v="akendrachalaune341@gmail.com"/>
        <s v="chandrajyapu@gmail.com"/>
        <s v="snkarmacharya@gmail.com"/>
        <s v="utsahp@gmail.com"/>
        <s v="hphriday07@gmail.com"/>
        <s v="snksah@gmail.com"/>
        <s v="Abhisheklama905@gmail.com"/>
        <s v="pujabasnet424@gmail.com"/>
        <s v="akritibista99@gmail.com"/>
        <s v="pprativa1@gmail.com"/>
        <s v="johannereimer@outlook.com"/>
        <s v="iamanjumaharjan@gmail.com"/>
        <s v="limbumuna794@gmail.com"/>
        <s v="jktanguay@gmail.com"/>
        <s v="maharjan.bidhyalaxmi@gmail.com"/>
        <s v="meghachhetri.limbu@gmail.com"/>
        <s v="lamasunny335@gmail.com"/>
        <s v="thapa.ashmita007@gmail.com"/>
        <s v="rubinapandey111@gmail.com"/>
        <s v="nepalmigrationwork@gmail.com"/>
        <s v="Sandhya954@gmail.com"/>
        <s v="khanaldivya333@gmail.com"/>
        <s v="rubiinat5@gmail.com"/>
        <s v="lamakalpana2001@gmail.com"/>
        <s v="tulushamishra@gmail.com"/>
        <s v="pushpa_23@hotmail.com"/>
        <s v="diyaa44lh@gmail.com"/>
        <s v="akusagrg@gmail.com"/>
        <s v="tania1366@gmail.com"/>
        <s v="simone_balzarini@libero.it"/>
        <s v="sofia.af.hallstrom@gmail.com"/>
        <s v="emilie.roydelachaise@edhec.com"/>
        <s v="blot.benedicte@gmail.com"/>
        <s v="lenatara@gmail.com"/>
        <s v="ichhaagarg@gmail.com"/>
        <s v="marieeggennor@hotmail.com"/>
        <s v="dorota.zytkowicz@gmail.com"/>
        <s v="katherinehall94@gmail.com"/>
        <s v="kazuyataikoku@hotmail.co.jp"/>
        <s v="kheinrichjones@gmail.com"/>
        <s v="monet.izabeth@gmail.com"/>
        <s v="gwen1025@gmail.com"/>
        <s v="ermeeks@gmail.com"/>
        <s v="maharjan@live.com.uk"/>
        <s v="frensuren@gmail.com"/>
        <s v="erishghimire@gmail.com"/>
        <s v="sharadsown@gmail.com"/>
        <s v="altitudeofeverest@gmail.com"/>
        <s v="mohit.maharjan16@gmail.com"/>
        <s v="rabindrasubba5@gmail.com"/>
        <s v="dnrayamajhi25@gmail.com"/>
        <s v="wang_karma@hotmail.com"/>
        <s v="sumitkumarale@gmail.com"/>
        <s v="samihangr965@gmail.com"/>
        <s v="ptarchktm@gmail.com"/>
        <s v="vinartery@gmail.com"/>
        <s v="schneidersemil3@gmail.com"/>
        <s v="kabinbenz2012@yahoo.com"/>
        <s v="btiruwa556@gmail.com"/>
        <s v="awale.tulsi@gmail.com"/>
        <s v="sudippokharel@outlook.com"/>
        <s v="netrathapa@hotmail.com"/>
        <s v="tseringhyolmo6@gmail.com"/>
        <s v="shahpragyadeep@gmail.com"/>
        <s v="clubkarnalisports@gmail.com"/>
        <s v="manjil13.malla@gmail.com"/>
        <s v="aaryarana4614@gmail.com"/>
        <s v="bhoteyjungrai6@gmail.com"/>
        <s v="sunnyparajuli5@gmail.com"/>
        <s v="tasinima818@gmail.com"/>
        <s v="tbardan11@gmail.com"/>
        <s v="soneecestha@gmail.com"/>
        <s v="Gaurav151989@gmail.com"/>
        <s v="shubham.shrestha321@gmail.com"/>
        <s v="anant472@gmail.com"/>
        <s v="namsangsherpa@gmail.com"/>
        <s v="paarasmgolchha@gmail.com"/>
        <s v="ayush.shilpakar87@gmail.com"/>
        <s v="dayjen.jigme.shrestha977@gmail.com"/>
        <s v="aminnulama@gmail.com"/>
        <s v="mahatararaja3@gmail.com"/>
        <s v="drganesh60@gmail.com"/>
        <s v="shakya.sujen@gmail.com"/>
        <s v="karl7157@gmail.com"/>
        <s v="pranay2634@gmail.com"/>
        <s v="aavash.2001@gmail.com"/>
        <s v="pranavrsdangol@gmail.com"/>
        <s v="smggunn@gmail.com"/>
        <s v="clasillas@hotmail.com"/>
        <s v="msujal721@gmail.com"/>
        <s v="sushanmaharjan4321@gmail.com"/>
        <s v="johnmagar770@gmail.com"/>
        <s v="huddin244@gmail.com"/>
        <s v="rb3598@nyu.edu"/>
        <s v="hariadhikari4@gmail.com"/>
        <s v="shant.mehta@ntc.net.np"/>
        <s v="clubfotorocky@gmail.com"/>
        <s v="cktanguay3@gmail.com"/>
        <s v="saguncr@gmail.com"/>
        <s v="thapa.vivek@gmail.com"/>
        <s v="shaambhav.bhattarai@gmail.com"/>
        <s v="itihangg@gmail.com"/>
        <s v="maharjanforean67@gmail.com"/>
        <s v="maharjannick30@gmail.com"/>
        <s v="zritixmaharjan@gmail.com"/>
        <s v="raj@socialtours.com"/>
        <s v="anil.pasa12@gmail.com"/>
        <s v="nayanshrestha231@gmail.com"/>
        <s v="rameshkhadgabhandari@gmail.com"/>
        <s v="MKSTUDIO656@GMAIL.COM"/>
        <s v="tenzin.g123.tg@gmail.com"/>
        <s v="adhipun97@icloud.com"/>
        <s v="shresthaavi@gmail.com"/>
        <s v="renayaraut2010@gmail.com"/>
        <s v="ww.raiabhijeet546@gmail.com"/>
        <s v="shreyanskumarc@gmail.com"/>
        <s v="jebin.gautam@gmail.com"/>
        <s v="sureshraj2@yahoo.com"/>
        <s v="ctamrakar@gmail.com"/>
        <s v="winnerman03@gmail.com"/>
        <s v="saugatpoudyal19@gmail.com"/>
        <s v="lagejuz@gmail.com"/>
        <s v="sabinvlog1995@gmail.com"/>
        <s v="Pukargurung971@gmail.com"/>
        <s v="manish1499stha@gmail.com"/>
        <s v="aviram64@gmail.com"/>
        <s v="lok.dawnit@gmail.com"/>
        <s v="vishwamoktan5@gmail.com"/>
        <s v="pokharelalok23@gmail.com"/>
        <s v="1psedhai@gmail.com"/>
        <s v="bipin.tmg1@gmail.com"/>
        <s v="tmkrubin@gmail.com"/>
        <s v="shrabin.05@gmail.com"/>
        <s v="suyesh.sainju@gmail.com"/>
        <s v="shashankji@gmail.com"/>
        <s v="prashantkhatri0510@gmail.com"/>
        <s v="binayshrestha@gmail.com"/>
        <s v="Saugatspurs@gmail.com"/>
        <s v="anilsthapit01@gmail.com"/>
        <s v="biplavshrestha99@gmail.com"/>
        <s v="jeff1995subba@gmail.com"/>
        <s v="samrat.pandey@live.com"/>
        <s v="udaytamrakar@hotmail.com"/>
        <s v="omshree_nkc@yahoo.com"/>
        <s v="Ericwezel97@gmail.com"/>
        <s v="yalamber@mundhum.com"/>
        <s v="shrestharumit33@gmail.com"/>
        <s v="bishalmhzn09@gmail.com"/>
        <s v="prabin824@gmail.com"/>
        <s v="raydv18@gmail.com"/>
        <s v="rakshyakshrestha24@gmail.com"/>
        <s v="basunepalbn@gmail.com"/>
        <s v="sudeepsayami16@gmail.com"/>
        <s v="tamanlimbu21@gmail.com"/>
        <s v="milanshahi738@gmail.com"/>
        <s v="astonmartinakel@gmail.com"/>
        <s v="bikeshshakya360@gmail.com"/>
        <s v="isorgurung336@gmail.com"/>
        <s v="koshish62@gmail.com"/>
        <s v="shrestharoshan3339@gmail.com"/>
        <s v="nabingiri@gmail.com"/>
        <s v="sanjaya.sbin@gmail.com"/>
        <s v="rojan.baniya13@gmail.com"/>
        <s v="shreejal04gupta@gmail.com"/>
        <s v="suyeshsingh@outlook.com"/>
        <s v="t.ameen021@gmail.com"/>
        <s v="prajapatiriwaj@gmail.com"/>
        <s v="shailen.dradhami46@gmail.com"/>
        <s v="biki-maharjan@hotmail.com"/>
        <s v="Anup.shres@hotmail.com"/>
        <s v="sushil.kandoi@gmail.com"/>
        <s v="santosh.bh.khatri@gmail.com"/>
        <s v="krnkunwar@gmail.com"/>
        <s v="bishav.n.r@gmail.com"/>
        <s v="sunilthapa056@outlook.com"/>
        <s v="abhisheksarangkoti56@gmail.com"/>
        <s v="kiran@himalayanlife.com"/>
        <s v="thapa.manish16@gmail.com"/>
        <s v="gunner1984.gs@gmail.com"/>
        <s v="simongernst@gmail.com"/>
        <s v="sebastian.braumueller@a1.net"/>
        <s v="greglimb26@yahoo.fr"/>
        <s v="surajyadav4284@gmail.com"/>
        <s v="aksel-96@hotmail.com"/>
        <s v="g.smigowski@gmail.com"/>
        <s v="nepalmtb@gmail.com"/>
        <s v="zonawaves@gmail.com"/>
        <s v="sonyamartinmd@gmail.com"/>
        <s v="bibhusan@yipl.com.np"/>
        <s v="yshah4451@gmail.com"/>
        <s v="muktihydro@gmail.com"/>
        <s v="prakritartha1624@gmail.com"/>
        <s v="purughale@gmail.com"/>
        <s v="raajgora42@gmail.com"/>
        <s v="rameshchettry815@gmail.com"/>
        <s v="bishalmoktanarmytafc@gmail.com"/>
        <s v="norbulamahoa@gmail.com"/>
        <s v="khadkaprithvi4@gmail.com"/>
        <s v="Jonas.gronli@gmail.com"/>
        <s v="rahulrawal0255@gmail.com"/>
        <s v="riya.suryabanshi@gmail.com"/>
        <s v="nishamaharjan04@gmail.com"/>
        <s v="linbupuspa433@gmail.com"/>
        <s v="sunuwarmanju2020@gmail.com"/>
        <s v="sharmilishuchi89@gmail.com"/>
        <s v="warda.sayeda007@gmail.com"/>
        <s v="vanja.cnops@gmail.com"/>
        <s v="novak_susanne@web.de"/>
        <s v="tessangasze@gmail.com"/>
        <s v="wandashishadewkhaid@gmail.com"/>
        <s v="rairakhee83@gmail.com"/>
        <s v="sandypuwein33@gmail.com"/>
        <s v="smadhurima95@gmail.com"/>
        <s v="amitpluspooja@gamil.com"/>
        <s v="miriamgangmei@gmail.clom"/>
        <s v="jaurmayuko0323@gmail.com"/>
        <s v="elise.weiskopf@gmail.com"/>
        <s v="vincere3.28@gmail.com"/>
        <s v="chaulagainkrish7@gmail.com"/>
        <s v="santos98622@gmail.com"/>
        <s v="raiparbat355@gmail.com"/>
        <s v="jalbinak2010@gmail.com"/>
        <s v="sunil19821225@gmail.com"/>
        <s v="laxmiawale@gmail.com"/>
        <s v="bikrammaharjan@gmail.com"/>
        <s v="maharjansujit7@gmail.com"/>
        <s v="bipinjungbasnet199@gmail.com"/>
        <s v="surajdura2507@gmail.com"/>
        <s v="rijalbasanta123@gmail.com"/>
        <s v="sumandevelops@gmail.com"/>
        <s v="anuragrokaya60@gmail.com"/>
        <s v="rituragrokaya4@gmail.com"/>
        <s v="nirbanjara@gmail.com"/>
        <s v="lex@lexlimbu.com"/>
        <s v="kapilchaulagain3@gmail.com"/>
        <s v="mingmartng@gmail.com"/>
        <s v="prayummaharjan@gmail.com"/>
        <s v="romikgosai2057@gmail.com"/>
        <s v="congmusherpa@gmail.com"/>
        <s v="gurungsudarshan48@gmail.com"/>
        <s v="madansubedi59@gmail.com"/>
        <s v="dewanpradhan@gmail.com"/>
        <s v="d2thapag@gmail.com"/>
        <s v="raim8654@gmail.com"/>
        <s v="hyolmolhakpagyalbu@gmail.com"/>
        <s v="uniquekarki02@gmail.com"/>
        <s v="tamsandip@gmail.com"/>
        <s v="thaparabi1966@gmail.com"/>
        <s v="kojumla@yahoo.com"/>
        <s v="raj.dhuku@gmail.com"/>
        <s v="somxettri831@gmail.com"/>
        <s v="pujanov69@gmail.com"/>
        <s v="sane_khadka@hotmail.com"/>
        <s v="Thamsuhangpratap2059@gmail.com"/>
        <s v="dangolprasiddha73@gmail.com"/>
        <s v="shekharthapaliya88@gmail.com"/>
        <s v="ozaybhatta@gmail.com"/>
        <s v="binesh.tuladhar@gmail.com"/>
        <s v="limburajanrajanlimbu@gmail.com"/>
        <s v="pratikbhuju@gmail.com"/>
        <s v="lokendrarai070@gmail.com"/>
        <s v="Kanchhag98@gmail.com"/>
        <s v="cvaraz22446688@gmail.com"/>
        <s v="lakimdahal1@gmail.com"/>
        <s v="nayansayami@gmail.com"/>
        <s v="leonishesh@gmail.com"/>
        <s v="lrajendra7@gmail.com"/>
        <s v="homlalshrestha2020@gmail.com"/>
        <s v="amaharjan@gmail.com"/>
        <s v="buddhiramgurung5@gmail.com"/>
        <s v="prameshmalakar@gmail.com"/>
        <s v="spasang149@gmail.com"/>
        <s v="sukbahdursuk@gmail.com"/>
        <s v="rokamagarmankumar764@gmail.com"/>
        <s v="rambkt@gmail.com"/>
        <s v="nusilimbu@gmail.com"/>
        <s v="yuvrajgurung952@gmail.com"/>
        <s v="magardipakar@gmail.com"/>
        <s v="rohanrajesh85@gmail.com"/>
        <s v="jenbajra@gmail.com"/>
        <s v="sudeepshakya13@gmail.com"/>
        <s v="supata@gmail.com"/>
        <s v="aayushuman345@gmail.com"/>
        <s v="prash.shrestha@gmail.com"/>
        <s v="basnes4@gmail.com"/>
        <s v="binodbhatt252@gmail.com"/>
        <s v="suyogpoudel87@gmail.com"/>
        <s v="gaa9402@gmail.com"/>
        <s v="emailregmikumar@gmail.com"/>
        <s v="worldtravelonfootofficial@gmail.com"/>
        <s v="afridishuvo@gmail.com"/>
        <s v="luev62@gmail.com"/>
        <s v="santagaha@gmail.com"/>
        <s v="emil-theodor.eisert@gmx.de"/>
        <s v="rocksubir302@gmail.com"/>
        <s v="ratheeshma@gmail.com"/>
        <s v="raysourav@ymail.com"/>
        <s v="bkbestbittu24@gmail.com"/>
        <s v="compuzone.india@gmail.com"/>
        <s v="keitekinyusen@gmail.com"/>
        <s v="romansevarts@gmail.com"/>
        <s v="davidjjgroves@gmail.com"/>
        <s v="rppradhan2@gmail.com"/>
        <s v="sumandahal0303@gmail.com"/>
        <s v="prakashchakraborty744@gmail.com"/>
        <s v="sunuwarbibek42@gmail.com"/>
        <s v="ceminb@gmail.com"/>
        <s v="cessna2764@gmail.com"/>
        <s v="shresthahemant@gmail.com"/>
        <s v="m32758034@gmail.com"/>
        <s v="neupane.anjalu77@gmail.com"/>
        <s v="gitamaharjan303@gmail.com"/>
        <s v="seemachaudhary215@gmail.com"/>
        <s v="kalpanabudha226@gmail.com"/>
        <s v="sanisa.limbu00@gmail.com"/>
        <s v="anjuligurung666@gmail.com"/>
        <s v="raidiya2056@gmail.com"/>
        <s v="phurwalhamusherpa123@gmail.com"/>
        <s v="anitarai569@gmail.com"/>
        <s v="isabellebedard@gmail.com"/>
        <s v="stinehei@hotmail.com"/>
        <s v="debnathsumana12@gmail.com"/>
        <s v="mochizuki909@gmail.com"/>
        <s v="seven.steps.to.heaven@gmail.com"/>
        <s v="annemai.baan@gmail.com"/>
        <s v="kingsally15@gmail.com"/>
        <s v="man.rakesh@gmail.com"/>
        <s v="pradhanprashish@gmail.cim"/>
        <s v="bothra_arihant@hotmail.com"/>
        <s v="rjun1432@gmail.com"/>
        <s v="srijan.ayer@gmail.com"/>
        <s v="anjanbhandari564@gmail.com"/>
        <s v="ganesh.pandey255@gmail.com"/>
        <s v="Uchitaryal100@gmail.com"/>
        <s v="Amatya.home@gmail.com"/>
        <s v="Dhanabahadurranamagar43@gmail.com"/>
        <s v="ahisheksubedi30@gmail.com"/>
        <s v="sazearossan@gmail.com"/>
        <s v="Grg982385@gmail.com"/>
        <s v="ashishbista3@gmail.com"/>
        <s v="prazol@academiacollege.edu.np"/>
        <s v="ashok_grg@hotmail.com"/>
        <s v="orbeenshr@gmail.com"/>
        <s v="harshjalan89@gmail.com"/>
        <s v="Shreeyans.rocks2020@gmail.com"/>
        <s v="widpra@gmail.com"/>
        <s v="bidaribishnu7@gmail.com"/>
        <s v="magarpancharam542@gmail.com"/>
        <s v="shaktirammagar5@gmail.com"/>
        <s v="runmirarai@gmail.com"/>
        <s v="engineermanoj22@gmail.com"/>
        <s v="milan.sangbo@gmail.com"/>
        <s v="tharusher99@gmail.com"/>
        <s v="kachoutdoors@gmail.com"/>
        <s v="nara7495@gmail.com"/>
        <s v="n.lamsal86@gmail.com"/>
        <s v="ranjitsampang32@gmail.com"/>
        <s v="keshar.ale@gmail.com"/>
        <s v="sushantkhatri.kc@gmail.com"/>
        <s v="kulungarjun1234@gmail.com"/>
        <s v="abadu6008@gmail.com"/>
        <s v="sshariar1991@gmail.com"/>
        <s v="sahapartho182@gmail.com"/>
        <s v="arif188_jab@yahoo.com"/>
        <s v="frabbychowdhury92@gmail.com"/>
        <s v="surjachakma09@gmail.com"/>
        <s v="694670451@qq.com"/>
        <s v="2518110645@qq.com"/>
        <s v="flavienbasc@yahoo.com"/>
        <s v="gael.wassmer@gmail.com"/>
        <s v="edgourdin@gmail.com"/>
        <s v="pritamrai462@gmail.com"/>
        <s v="jyotishkobiswasindia@gmail.com"/>
        <s v="mondal.soumyadip2@gmail.com"/>
        <s v="biswajit.juberika@gmail.com"/>
        <s v="hemashettar@gmail.com"/>
        <s v="shubhamshrmaoi4@gmail.com"/>
        <s v="sumitsingh123101@gmail.com"/>
        <s v="naotori@gmail.com"/>
        <s v="yoshrish.yogi@gmail.com"/>
        <s v="agnusdei0318@gmail.com"/>
        <s v="titashangkhim@gmail.com"/>
        <s v="nuworld01@gmail.com"/>
        <s v="resurreccionrt@yahoo.com"/>
        <s v="vietthang73@hotmail.com"/>
        <s v="kobashi0710@yahoo.co.jp"/>
        <s v="kyndaitdakahi@gmail.com"/>
        <s v="alex.wriggz@gmail.com"/>
        <s v="ajayatamang548@gmail.com"/>
        <s v="sensei.dawa@gmail.com"/>
        <s v="grishmadarai4354@gmail.com"/>
        <s v="suryarajrai2@gmail.com"/>
        <s v="bikramkhanal1986@gmail.com"/>
        <s v="minkumarkhawash1@gmail.com"/>
        <s v="shivaraimastercard@gmail.com"/>
        <s v="nirojbhatta173@gmail.com"/>
        <s v="kojusijan@gmail.com"/>
        <s v="saketkunwar2005@gmail.com"/>
        <s v="beeshivendra@gmail.com"/>
        <s v="sgbhishma4@gmail.com"/>
        <s v="yogenvai66@gmail.con"/>
        <s v="seasonadhikari04@gmail.com"/>
        <s v="sanjib.d.thapa@gmail.com"/>
        <s v="grg.tas007@gmail.com"/>
        <s v="harendrachy47@gmail.com"/>
        <s v="nishanta525@gmail.com"/>
        <s v="bibekadhikari7771@gmail.com"/>
        <s v="semalisubhash@gmail.com"/>
        <s v="deemunk@gmail.com"/>
        <s v="gopaltamang387@gmail.com"/>
        <s v="rajransin@gmail.com"/>
        <s v="ashutsoh.1234@gmail.com"/>
        <s v="shubhode65@gmail.com"/>
        <s v="towfique773@gmail.com"/>
        <s v="stephansamuel22@gmail.com"/>
        <s v="baskarm1977@gmail.com"/>
        <s v="aniketroy95726@gmail.com"/>
        <s v="kelvindiran_moh@yahoo.com"/>
        <s v="attymarxyap@gmail.com"/>
        <s v="Billibierling@gmail.com"/>
        <s v="thecrisnaz@gmail.com"/>
        <s v="bishalrajpaudyal@gmail.com"/>
        <s v="saikumarrai222@gmail.com"/>
      </sharedItems>
    </cacheField>
    <cacheField name="itra">
      <sharedItems containsBlank="1" containsMixedTypes="1" containsNumber="1" containsInteger="1">
        <m/>
        <n v="7199400.0"/>
        <n v="7171935.0"/>
        <n v="6985680.0"/>
        <n v="7171664.0"/>
        <n v="6348612.0"/>
        <n v="6937038.0"/>
        <n v="4780916.0"/>
        <n v="5858141.0"/>
        <n v="7219774.0"/>
        <n v="7199390.0"/>
        <n v="7202990.0"/>
        <n v="7172680.0"/>
        <n v="7166837.0"/>
        <n v="7202927.0"/>
        <n v="6947157.0"/>
        <n v="6664946.0"/>
        <n v="6420154.0"/>
        <n v="6195677.0"/>
        <n v="4733212.0"/>
        <n v="7018578.0"/>
        <n v="7202931.0"/>
        <n v="5090645.0"/>
        <n v="7135976.0"/>
        <n v="4807426.0"/>
        <n v="6148800.0"/>
        <n v="4792489.0"/>
        <n v="6996442.0"/>
        <n v="7086603.0"/>
        <n v="7216181.0"/>
        <n v="7207478.0"/>
        <n v="7199397.0"/>
        <n v="6079149.0"/>
        <s v="ASTRA@MTR26"/>
        <n v="6089969.0"/>
        <n v="7189370.0"/>
        <n v="6079136.0"/>
        <n v="7086610.0"/>
        <n v="6059235.0"/>
        <n v="7167077.0"/>
        <n v="7202969.0"/>
        <n v="7059094.0"/>
        <n v="5848660.0"/>
        <n v="7166187.0"/>
        <n v="7160618.0"/>
        <n v="7160615.0"/>
        <n v="7150262.0"/>
        <s v="ELITE@MTR26"/>
        <n v="7203464.0"/>
        <n v="7171931.0"/>
        <n v="7202930.0"/>
        <n v="7171993.0"/>
        <n v="7142384.0"/>
        <s v="No"/>
        <n v="6247943.0"/>
        <n v="6190466.0"/>
        <n v="6937000.0"/>
        <n v="6939090.0"/>
        <n v="7225240.0"/>
        <n v="4370332.0"/>
        <n v="4588931.0"/>
        <n v="6976017.0"/>
        <n v="7039150.0"/>
        <n v="405.0"/>
        <n v="7176530.0"/>
        <n v="6791619.0"/>
        <s v="Puspa Serma"/>
        <n v="5432954.0"/>
        <n v="6985822.0"/>
        <n v="1193309.0"/>
        <n v="5432952.0"/>
        <n v="6999668.0"/>
        <s v="AMBASSADOR@MTR26"/>
        <n v="6731801.0"/>
        <n v="7040612.0"/>
        <n v="6999788.0"/>
        <n v="6999688.0"/>
        <n v="7120816.0"/>
        <n v="6930381.0"/>
        <n v="5072074.0"/>
        <n v="6079079.0"/>
        <n v="4807930.0"/>
        <n v="5091902.0"/>
        <n v="7167725.0"/>
        <n v="6992459.0"/>
        <n v="6336589.0"/>
        <n v="1496419.0"/>
        <n v="6985810.0"/>
        <n v="7171923.0"/>
        <n v="5348270.0"/>
        <n v="6182720.0"/>
        <n v="6946947.0"/>
        <n v="154878.0"/>
        <n v="5715704.0"/>
        <n v="6152380.0"/>
        <n v="6930391.0"/>
        <s v="Pramod Rai"/>
        <n v="4903730.0"/>
        <n v="6345206.0"/>
        <n v="5379407.0"/>
        <n v="6999698.0"/>
        <n v="6293619.0"/>
        <n v="5415438.0"/>
        <n v="1366741.0"/>
        <n v="6079129.0"/>
        <n v="7199741.0"/>
        <s v="Shuvo Afridi 6985811"/>
        <n v="1750915.0"/>
        <n v="7135974.0"/>
        <n v="4687666.0"/>
        <n v="6951190.0"/>
        <n v="4362352.0"/>
        <n v="5608961.0"/>
        <n v="2591099.0"/>
        <n v="6345195.0"/>
        <n v="6293656.0"/>
        <n v="6662553.0"/>
        <n v="4792544.0"/>
        <n v="6933093.0"/>
        <n v="7172676.0"/>
        <n v="6699141.0"/>
        <s v="Dil Kala Khaling"/>
        <n v="3501145.0"/>
        <s v="Ang Purba Sherpa"/>
        <s v="Anita Rai"/>
        <n v="2205361.0"/>
        <n v="2233523.0"/>
        <n v="6079092.0"/>
        <n v="1479805.0"/>
        <n v="402635.0"/>
        <n v="4246326.0"/>
        <n v="4475615.0"/>
        <n v="2433989.0"/>
        <n v="3092755.0"/>
        <n v="5297056.0"/>
        <n v="6741592.0"/>
        <n v="6909937.0"/>
        <n v="6293548.0"/>
        <n v="1991203.0"/>
        <n v="7209970.0"/>
        <n v="3574679.0"/>
        <n v="5075601.0"/>
        <n v="6059219.0"/>
        <n v="5257438.0"/>
        <s v="Pancharam Budha"/>
        <s v="Shaktiram Roka"/>
        <s v="Chitij Kulung Rai"/>
        <n v="5380627.0"/>
        <n v="5291694.0"/>
        <n v="6345205.0"/>
        <n v="5794164.0"/>
        <n v="5379501.0"/>
        <n v="6222655.0"/>
        <n v="6743889.0"/>
        <n v="5139309.0"/>
        <n v="6709540.0"/>
        <n v="838.0"/>
        <n v="5828320.0"/>
        <n v="5379989.0"/>
        <n v="5379998.0"/>
        <n v="4911622.0"/>
        <n v="5697406.0"/>
        <n v="5257432.0"/>
        <n v="415.0"/>
        <n v="5379987.0"/>
        <n v="5379990.0"/>
        <n v="5322027.0"/>
        <n v="6352789.0"/>
        <n v="5923984.0"/>
        <n v="1212575.0"/>
        <n v="4606787.0"/>
        <n v="4577782.0"/>
        <n v="1782351.0"/>
        <n v="4686429.0"/>
        <n v="3470189.0"/>
        <n v="4555371.0"/>
        <n v="7160616.0"/>
        <n v="5030137.0"/>
        <n v="6997469.0"/>
        <n v="6293633.0"/>
        <n v="6067112.0"/>
        <s v="Niraj Bhatta Chhetri"/>
        <n v="5291707.0"/>
        <n v="4784644.0"/>
        <n v="5888589.0"/>
        <n v="7167047.0"/>
        <n v="6810322.0"/>
        <n v="6985674.0"/>
        <n v="4807975.0"/>
        <n v="6921807.0"/>
        <n v="5185165.0"/>
        <n v="4807917.0"/>
        <n v="6293643.0"/>
        <n v="6202982.0"/>
        <n v="7045322.0"/>
        <n v="4802939.0"/>
        <n v="5129944.0"/>
        <n v="4689113.0"/>
        <n v="5140540.0"/>
      </sharedItems>
    </cacheField>
    <cacheField name="dob">
      <sharedItems containsDate="1" containsString="0" containsBlank="1" containsMixedTypes="1">
        <d v="1985-04-18T00:00:00Z"/>
        <d v="1980-08-08T00:00:00Z"/>
        <d v="1994-02-26T00:00:00Z"/>
        <d v="1990-07-11T00:00:00Z"/>
        <d v="1999-06-28T00:00:00Z"/>
        <d v="1992-01-19T00:00:00Z"/>
        <d v="1987-01-27T00:00:00Z"/>
        <d v="2005-02-27T00:00:00Z"/>
        <d v="2000-06-08T00:00:00Z"/>
        <d v="1986-07-12T00:00:00Z"/>
        <d v="2001-11-17T00:00:00Z"/>
        <d v="2017-04-02T00:00:00Z"/>
        <d v="1999-02-02T00:00:00Z"/>
        <d v="2001-12-13T00:00:00Z"/>
        <d v="1997-09-19T00:00:00Z"/>
        <d v="1991-09-09T00:00:00Z"/>
        <d v="1981-12-16T00:00:00Z"/>
        <d v="1971-09-13T00:00:00Z"/>
        <d v="1973-08-08T00:00:00Z"/>
        <d v="2000-10-18T00:00:00Z"/>
        <d v="1994-01-31T00:00:00Z"/>
        <d v="2009-07-18T00:00:00Z"/>
        <d v="2006-07-12T00:00:00Z"/>
        <d v="1996-09-04T00:00:00Z"/>
        <d v="2003-07-04T00:00:00Z"/>
        <d v="1995-05-28T00:00:00Z"/>
        <d v="2003-07-25T00:00:00Z"/>
        <d v="1989-12-31T00:00:00Z"/>
        <d v="2003-07-06T00:00:00Z"/>
        <d v="2000-01-10T00:00:00Z"/>
        <d v="1969-12-20T00:00:00Z"/>
        <d v="2002-03-22T00:00:00Z"/>
        <d v="1997-09-30T00:00:00Z"/>
        <d v="1998-09-29T00:00:00Z"/>
        <m/>
        <d v="1999-01-20T00:00:00Z"/>
        <d v="1976-08-06T00:00:00Z"/>
        <d v="1996-08-08T00:00:00Z"/>
        <d v="1982-08-13T00:00:00Z"/>
        <d v="1990-11-13T00:00:00Z"/>
        <d v="1994-10-17T00:00:00Z"/>
        <d v="1989-08-18T00:00:00Z"/>
        <d v="1973-01-29T00:00:00Z"/>
        <d v="1960-12-21T00:00:00Z"/>
        <d v="1982-06-11T00:00:00Z"/>
        <d v="1977-10-19T00:00:00Z"/>
        <d v="1992-04-13T00:00:00Z"/>
        <d v="1997-09-08T00:00:00Z"/>
        <d v="1968-08-18T00:00:00Z"/>
        <d v="2006-05-16T00:00:00Z"/>
        <d v="1997-11-28T00:00:00Z"/>
        <d v="2008-04-03T00:00:00Z"/>
        <d v="1999-11-09T00:00:00Z"/>
        <d v="1998-05-14T00:00:00Z"/>
        <d v="1993-05-22T00:00:00Z"/>
        <d v="1970-08-05T00:00:00Z"/>
        <d v="1984-05-20T00:00:00Z"/>
        <d v="1985-08-29T00:00:00Z"/>
        <d v="1990-12-31T00:00:00Z"/>
        <d v="1998-10-02T00:00:00Z"/>
        <d v="1995-01-07T00:00:00Z"/>
        <d v="1994-10-10T00:00:00Z"/>
        <d v="1987-01-29T00:00:00Z"/>
        <d v="2007-11-05T00:00:00Z"/>
        <d v="1998-06-16T00:00:00Z"/>
        <d v="1999-11-23T00:00:00Z"/>
        <d v="1992-01-17T00:00:00Z"/>
        <d v="1992-02-25T00:00:00Z"/>
        <d v="2006-05-13T00:00:00Z"/>
        <d v="1988-02-02T00:00:00Z"/>
        <d v="1979-07-14T00:00:00Z"/>
        <d v="2000-02-20T00:00:00Z"/>
        <d v="1974-01-08T00:00:00Z"/>
        <d v="2005-08-08T00:00:00Z"/>
        <d v="1997-07-23T00:00:00Z"/>
        <d v="2008-07-05T00:00:00Z"/>
        <d v="1992-05-08T00:00:00Z"/>
        <d v="1979-05-28T00:00:00Z"/>
        <d v="1987-03-05T00:00:00Z"/>
        <d v="1993-07-06T00:00:00Z"/>
        <d v="1963-02-17T00:00:00Z"/>
        <d v="2000-12-28T00:00:00Z"/>
        <d v="2000-10-03T00:00:00Z"/>
        <d v="2001-09-15T00:00:00Z"/>
        <d v="2003-12-25T00:00:00Z"/>
        <d v="2004-06-22T00:00:00Z"/>
        <d v="2003-08-07T00:00:00Z"/>
        <d v="2009-12-14T00:00:00Z"/>
        <d v="1999-07-23T00:00:00Z"/>
        <d v="1973-11-17T00:00:00Z"/>
        <d v="1995-02-27T00:00:00Z"/>
        <d v="1985-11-14T00:00:00Z"/>
        <d v="2000-12-20T00:00:00Z"/>
        <d v="2003-06-01T00:00:00Z"/>
        <d v="1988-04-22T00:00:00Z"/>
        <d v="1985-01-23T00:00:00Z"/>
        <d v="2011-01-08T00:00:00Z"/>
        <d v="2013-08-23T00:00:00Z"/>
        <d v="2009-02-08T00:00:00Z"/>
        <d v="1984-01-21T00:00:00Z"/>
        <d v="1995-09-05T00:00:00Z"/>
        <d v="1998-01-03T00:00:00Z"/>
        <d v="2005-07-20T00:00:00Z"/>
        <d v="1994-05-25T00:00:00Z"/>
        <d v="2005-08-06T00:00:00Z"/>
        <d v="1993-11-20T00:00:00Z"/>
        <d v="2003-08-24T00:00:00Z"/>
        <d v="1995-02-22T00:00:00Z"/>
        <d v="1976-04-02T00:00:00Z"/>
        <d v="1999-11-21T00:00:00Z"/>
        <d v="2000-09-15T00:00:00Z"/>
        <d v="2000-04-26T00:00:00Z"/>
        <d v="2009-07-31T00:00:00Z"/>
        <d v="1999-09-26T00:00:00Z"/>
        <d v="1998-05-21T00:00:00Z"/>
        <d v="1986-01-29T00:00:00Z"/>
        <d v="2001-06-03T00:00:00Z"/>
        <d v="1991-08-08T00:00:00Z"/>
        <d v="2005-02-20T00:00:00Z"/>
        <d v="1999-04-19T00:00:00Z"/>
        <d v="2004-12-05T00:00:00Z"/>
        <d v="1979-12-31T00:00:00Z"/>
        <d v="1991-10-20T00:00:00Z"/>
        <d v="1992-02-13T00:00:00Z"/>
        <d v="2001-03-19T00:00:00Z"/>
        <d v="1999-09-09T00:00:00Z"/>
        <d v="1982-01-02T00:00:00Z"/>
        <d v="1968-06-08T00:00:00Z"/>
        <d v="1998-07-11T00:00:00Z"/>
        <d v="2026-12-01T00:00:00Z"/>
        <d v="1999-10-23T00:00:00Z"/>
        <d v="2006-12-01T00:00:00Z"/>
        <d v="1983-05-09T00:00:00Z"/>
        <d v="2002-11-18T00:00:00Z"/>
        <d v="1973-04-27T00:00:00Z"/>
        <d v="1980-05-12T00:00:00Z"/>
        <d v="1973-07-11T00:00:00Z"/>
        <n v="6646915.0"/>
        <d v="1990-08-15T00:00:00Z"/>
        <d v="1995-08-06T00:00:00Z"/>
        <d v="1985-10-24T00:00:00Z"/>
        <d v="2004-04-21T00:00:00Z"/>
        <d v="1996-10-07T00:00:00Z"/>
        <d v="2003-11-02T00:00:00Z"/>
        <d v="2001-11-03T00:00:00Z"/>
        <d v="1986-07-15T00:00:00Z"/>
        <d v="2000-12-08T00:00:00Z"/>
        <d v="1996-11-25T00:00:00Z"/>
        <d v="1979-01-15T00:00:00Z"/>
        <d v="1998-10-25T00:00:00Z"/>
        <d v="1986-06-17T00:00:00Z"/>
        <d v="2009-04-16T00:00:00Z"/>
        <d v="2008-04-25T00:00:00Z"/>
        <d v="2003-04-21T00:00:00Z"/>
        <d v="2002-11-05T00:00:00Z"/>
        <d v="1988-10-17T00:00:00Z"/>
        <d v="2007-09-07T00:00:00Z"/>
        <d v="2002-01-29T00:00:00Z"/>
        <d v="1994-05-18T00:00:00Z"/>
        <d v="1977-01-18T00:00:00Z"/>
        <d v="1983-08-13T00:00:00Z"/>
        <d v="1983-07-28T00:00:00Z"/>
        <d v="2007-01-02T00:00:00Z"/>
        <d v="1996-08-26T00:00:00Z"/>
        <d v="1989-05-07T00:00:00Z"/>
        <d v="2000-01-20T00:00:00Z"/>
        <d v="1994-08-05T00:00:00Z"/>
        <d v="1995-02-06T00:00:00Z"/>
        <d v="1990-05-03T00:00:00Z"/>
        <d v="1983-09-19T00:00:00Z"/>
        <d v="1992-09-18T00:00:00Z"/>
        <d v="1998-04-21T00:00:00Z"/>
        <d v="1989-09-29T00:00:00Z"/>
        <d v="1995-03-28T00:00:00Z"/>
        <d v="1986-10-27T00:00:00Z"/>
        <d v="1999-05-06T00:00:00Z"/>
        <d v="1988-12-12T00:00:00Z"/>
        <d v="1983-11-03T00:00:00Z"/>
        <d v="1977-03-05T00:00:00Z"/>
        <d v="1990-02-15T00:00:00Z"/>
        <d v="2000-11-16T00:00:00Z"/>
        <d v="2011-01-27T00:00:00Z"/>
        <d v="1978-12-17T00:00:00Z"/>
        <d v="1999-12-16T00:00:00Z"/>
        <d v="1991-11-08T00:00:00Z"/>
        <d v="1979-10-28T00:00:00Z"/>
        <d v="1982-05-08T00:00:00Z"/>
        <d v="1993-03-09T00:00:00Z"/>
        <d v="1994-07-12T00:00:00Z"/>
        <d v="1963-12-01T00:00:00Z"/>
        <d v="1991-01-31T00:00:00Z"/>
        <d v="2006-06-15T00:00:00Z"/>
        <d v="1986-11-24T00:00:00Z"/>
        <d v="1993-10-30T00:00:00Z"/>
        <d v="1965-05-28T00:00:00Z"/>
        <d v="1986-12-20T00:00:00Z"/>
        <d v="1974-01-19T00:00:00Z"/>
        <d v="1998-04-17T00:00:00Z"/>
        <d v="2003-05-03T00:00:00Z"/>
        <d v="1995-06-26T00:00:00Z"/>
        <d v="2005-08-29T00:00:00Z"/>
        <d v="1985-06-02T00:00:00Z"/>
        <d v="2001-12-03T00:00:00Z"/>
        <d v="1989-05-16T00:00:00Z"/>
        <d v="1997-07-02T00:00:00Z"/>
        <d v="2006-05-15T00:00:00Z"/>
        <d v="1989-10-18T00:00:00Z"/>
        <d v="1989-06-15T00:00:00Z"/>
        <d v="2004-01-14T00:00:00Z"/>
        <d v="1996-10-21T00:00:00Z"/>
        <d v="2001-07-22T00:00:00Z"/>
        <d v="1998-09-11T00:00:00Z"/>
        <d v="1999-02-08T00:00:00Z"/>
        <d v="1991-09-20T00:00:00Z"/>
        <d v="1994-11-15T00:00:00Z"/>
        <d v="1994-11-01T00:00:00Z"/>
        <d v="1957-03-01T00:00:00Z"/>
        <d v="1992-04-21T00:00:00Z"/>
        <d v="2010-01-05T00:00:00Z"/>
        <d v="1995-03-07T00:00:00Z"/>
        <d v="2001-03-26T00:00:00Z"/>
        <d v="1995-10-26T00:00:00Z"/>
        <d v="1990-12-08T00:00:00Z"/>
        <d v="1988-11-09T00:00:00Z"/>
        <d v="2004-08-06T00:00:00Z"/>
        <d v="2000-07-29T00:00:00Z"/>
        <d v="1985-10-04T00:00:00Z"/>
        <d v="1996-01-11T00:00:00Z"/>
        <d v="1967-07-10T00:00:00Z"/>
        <d v="1972-05-02T00:00:00Z"/>
        <d v="1984-02-28T00:00:00Z"/>
        <d v="2007-09-14T00:00:00Z"/>
        <d v="1983-11-17T00:00:00Z"/>
        <d v="1979-09-05T00:00:00Z"/>
        <d v="2010-10-19T00:00:00Z"/>
        <d v="2004-09-26T00:00:00Z"/>
        <d v="2008-02-16T00:00:00Z"/>
        <d v="2007-10-22T00:00:00Z"/>
        <d v="2006-02-05T00:00:00Z"/>
        <d v="1967-11-25T00:00:00Z"/>
        <d v="1989-03-26T00:00:00Z"/>
        <d v="2000-09-28T00:00:00Z"/>
        <d v="1996-09-05T00:00:00Z"/>
        <d v="1990-10-15T00:00:00Z"/>
        <d v="1988-01-03T00:00:00Z"/>
        <d v="2000-06-06T00:00:00Z"/>
        <d v="1997-11-30T00:00:00Z"/>
        <d v="1985-04-24T00:00:00Z"/>
        <d v="2000-06-29T00:00:00Z"/>
        <d v="1996-07-31T00:00:00Z"/>
        <d v="2006-03-07T00:00:00Z"/>
        <d v="2009-02-07T00:00:00Z"/>
        <d v="1990-11-19T00:00:00Z"/>
        <d v="1995-07-05T00:00:00Z"/>
        <d v="1971-04-11T00:00:00Z"/>
        <d v="1976-04-11T00:00:00Z"/>
        <d v="1997-05-15T00:00:00Z"/>
        <d v="1996-01-19T00:00:00Z"/>
        <d v="1996-09-08T00:00:00Z"/>
        <d v="1995-04-14T00:00:00Z"/>
        <d v="1998-11-21T00:00:00Z"/>
        <d v="1998-01-04T00:00:00Z"/>
        <d v="2010-07-12T00:00:00Z"/>
        <d v="1988-06-04T00:00:00Z"/>
        <d v="1997-05-08T00:00:00Z"/>
        <d v="1984-10-23T00:00:00Z"/>
        <d v="1986-03-30T00:00:00Z"/>
        <d v="1991-01-07T00:00:00Z"/>
        <d v="1994-06-07T00:00:00Z"/>
        <d v="1996-02-17T00:00:00Z"/>
        <d v="1997-12-17T00:00:00Z"/>
        <d v="1989-02-02T00:00:00Z"/>
        <d v="2004-10-13T00:00:00Z"/>
        <d v="1981-06-10T00:00:00Z"/>
        <d v="1994-01-11T00:00:00Z"/>
        <d v="1980-01-25T00:00:00Z"/>
        <d v="1991-01-22T00:00:00Z"/>
        <d v="1995-11-08T00:00:00Z"/>
        <d v="1997-04-01T00:00:00Z"/>
        <d v="1979-01-05T00:00:00Z"/>
        <d v="1986-11-29T00:00:00Z"/>
        <d v="1997-09-04T00:00:00Z"/>
        <d v="1990-02-08T00:00:00Z"/>
        <d v="1997-10-07T00:00:00Z"/>
        <d v="1997-05-25T00:00:00Z"/>
        <d v="1995-10-22T00:00:00Z"/>
        <d v="1998-01-05T00:00:00Z"/>
        <d v="1997-09-01T00:00:00Z"/>
        <d v="1999-10-25T00:00:00Z"/>
        <d v="1985-12-18T00:00:00Z"/>
        <d v="2005-08-07T00:00:00Z"/>
        <d v="2009-03-22T00:00:00Z"/>
        <d v="1996-10-22T00:00:00Z"/>
        <d v="2000-12-07T00:00:00Z"/>
        <d v="1986-06-19T00:00:00Z"/>
        <d v="2002-11-03T00:00:00Z"/>
        <d v="1990-10-16T00:00:00Z"/>
        <d v="1982-12-14T00:00:00Z"/>
        <d v="1987-04-09T00:00:00Z"/>
        <d v="1996-03-17T00:00:00Z"/>
        <d v="1997-07-25T00:00:00Z"/>
        <d v="1994-05-23T00:00:00Z"/>
        <d v="1999-07-05T00:00:00Z"/>
        <d v="2002-11-10T00:00:00Z"/>
        <d v="2009-08-02T00:00:00Z"/>
        <d v="1989-07-19T00:00:00Z"/>
        <d v="1976-06-29T00:00:00Z"/>
        <d v="1988-01-21T00:00:00Z"/>
        <d v="1990-09-15T00:00:00Z"/>
        <d v="1995-04-27T00:00:00Z"/>
        <d v="1986-04-18T00:00:00Z"/>
        <d v="2000-08-07T00:00:00Z"/>
        <d v="2001-05-25T00:00:00Z"/>
        <d v="1988-08-23T00:00:00Z"/>
        <d v="1984-07-01T00:00:00Z"/>
        <d v="1969-09-01T00:00:00Z"/>
        <d v="2000-01-28T00:00:00Z"/>
        <d v="1985-07-07T00:00:00Z"/>
        <d v="1998-05-01T00:00:00Z"/>
        <d v="2002-08-19T00:00:00Z"/>
        <d v="1996-01-12T00:00:00Z"/>
        <d v="1990-01-11T00:00:00Z"/>
        <d v="1981-07-01T00:00:00Z"/>
        <d v="1995-04-20T00:00:00Z"/>
        <d v="2010-02-14T00:00:00Z"/>
        <d v="1999-01-16T00:00:00Z"/>
        <d v="1988-01-01T00:00:00Z"/>
        <d v="1979-01-16T00:00:00Z"/>
        <d v="2000-09-29T00:00:00Z"/>
        <d v="1984-04-15T00:00:00Z"/>
        <d v="2011-06-26T00:00:00Z"/>
        <d v="2005-04-16T00:00:00Z"/>
        <d v="2001-04-26T00:00:00Z"/>
        <d v="1998-10-04T00:00:00Z"/>
        <d v="2002-03-10T00:00:00Z"/>
        <d v="2009-09-17T00:00:00Z"/>
        <d v="2003-02-25T00:00:00Z"/>
        <d v="1995-02-24T00:00:00Z"/>
        <d v="1993-12-13T00:00:00Z"/>
        <d v="2001-07-21T00:00:00Z"/>
        <d v="2003-05-11T00:00:00Z"/>
        <d v="1995-02-16T00:00:00Z"/>
        <d v="1987-04-24T00:00:00Z"/>
        <d v="1987-05-31T00:00:00Z"/>
        <d v="1991-03-18T00:00:00Z"/>
        <d v="1988-12-18T00:00:00Z"/>
        <d v="1989-02-06T00:00:00Z"/>
        <d v="1983-07-04T00:00:00Z"/>
        <d v="1997-12-06T00:00:00Z"/>
        <d v="1995-10-03T00:00:00Z"/>
        <d v="1991-05-04T00:00:00Z"/>
        <d v="1979-02-14T00:00:00Z"/>
        <d v="1994-03-23T00:00:00Z"/>
        <d v="1978-11-18T00:00:00Z"/>
        <d v="1981-08-28T00:00:00Z"/>
        <d v="1985-12-25T00:00:00Z"/>
        <d v="2006-01-09T00:00:00Z"/>
        <d v="2000-07-30T00:00:00Z"/>
        <d v="1986-08-06T00:00:00Z"/>
        <d v="1982-12-25T00:00:00Z"/>
        <d v="1980-01-04T00:00:00Z"/>
        <d v="1981-12-18T00:00:00Z"/>
        <d v="1983-05-10T00:00:00Z"/>
        <d v="2005-06-12T00:00:00Z"/>
        <d v="1993-11-09T00:00:00Z"/>
        <d v="2002-10-13T00:00:00Z"/>
        <d v="1999-04-16T00:00:00Z"/>
        <d v="2001-02-12T00:00:00Z"/>
        <d v="1996-06-02T00:00:00Z"/>
        <d v="2005-02-18T00:00:00Z"/>
        <d v="2006-09-07T00:00:00Z"/>
        <d v="1989-03-27T00:00:00Z"/>
        <d v="1992-05-06T00:00:00Z"/>
        <d v="1995-01-21T00:00:00Z"/>
        <d v="1996-02-20T00:00:00Z"/>
        <d v="2005-08-21T00:00:00Z"/>
        <d v="2000-12-05T00:00:00Z"/>
        <d v="2007-10-30T00:00:00Z"/>
        <d v="2003-05-08T00:00:00Z"/>
        <d v="1995-03-27T00:00:00Z"/>
        <d v="2000-02-11T00:00:00Z"/>
        <d v="1978-11-14T00:00:00Z"/>
        <d v="2004-01-26T00:00:00Z"/>
        <d v="1992-04-15T00:00:00Z"/>
        <d v="1998-12-02T00:00:00Z"/>
        <d v="2010-04-07T00:00:00Z"/>
        <d v="1966-06-22T00:00:00Z"/>
        <d v="2009-04-01T00:00:00Z"/>
        <d v="1982-05-18T00:00:00Z"/>
        <d v="2005-04-15T00:00:00Z"/>
        <d v="1994-07-31T00:00:00Z"/>
        <d v="1984-05-30T00:00:00Z"/>
        <d v="1993-01-31T00:00:00Z"/>
        <d v="2003-01-14T00:00:00Z"/>
        <d v="2003-06-14T00:00:00Z"/>
        <d v="1998-07-14T00:00:00Z"/>
        <d v="1993-06-10T00:00:00Z"/>
        <d v="1982-06-24T00:00:00Z"/>
        <d v="1999-02-19T00:00:00Z"/>
        <d v="1990-04-01T00:00:00Z"/>
        <d v="2005-10-29T00:00:00Z"/>
        <d v="1972-04-13T00:00:00Z"/>
        <d v="1997-04-06T00:00:00Z"/>
        <d v="2000-07-27T00:00:00Z"/>
        <d v="1982-07-21T00:00:00Z"/>
        <d v="1990-03-16T00:00:00Z"/>
        <d v="1989-06-26T00:00:00Z"/>
        <d v="1983-02-08T00:00:00Z"/>
        <d v="1978-12-27T00:00:00Z"/>
        <d v="2002-11-06T00:00:00Z"/>
        <d v="1973-11-28T00:00:00Z"/>
        <d v="1999-08-03T00:00:00Z"/>
        <d v="1989-10-01T00:00:00Z"/>
        <d v="2003-02-20T00:00:00Z"/>
        <d v="1966-10-01T00:00:00Z"/>
        <d v="1998-11-24T00:00:00Z"/>
        <d v="2002-09-24T00:00:00Z"/>
        <d v="2004-09-22T00:00:00Z"/>
        <d v="2002-08-22T00:00:00Z"/>
        <d v="1981-07-15T00:00:00Z"/>
        <d v="1992-04-14T00:00:00Z"/>
        <d v="1985-02-23T00:00:00Z"/>
        <d v="2000-09-09T00:00:00Z"/>
        <d v="1962-04-22T00:00:00Z"/>
        <d v="2003-09-17T00:00:00Z"/>
        <d v="1999-12-05T00:00:00Z"/>
        <d v="1978-03-07T00:00:00Z"/>
        <d v="1995-12-03T00:00:00Z"/>
        <d v="1993-01-07T00:00:00Z"/>
        <d v="1971-08-31T00:00:00Z"/>
        <d v="2007-08-28T00:00:00Z"/>
        <d v="2007-01-31T00:00:00Z"/>
        <d v="2003-03-31T00:00:00Z"/>
        <d v="1983-05-31T00:00:00Z"/>
        <d v="1992-02-22T00:00:00Z"/>
        <d v="1994-11-13T00:00:00Z"/>
        <d v="1975-10-27T00:00:00Z"/>
        <d v="1995-09-20T00:00:00Z"/>
        <d v="1982-08-20T00:00:00Z"/>
        <d v="1982-08-27T00:00:00Z"/>
        <d v="1991-09-23T00:00:00Z"/>
        <d v="1979-05-01T00:00:00Z"/>
        <d v="1967-07-07T00:00:00Z"/>
        <d v="2009-12-21T00:00:00Z"/>
        <d v="2006-11-18T00:00:00Z"/>
        <d v="2005-04-07T00:00:00Z"/>
        <d v="1980-12-14T00:00:00Z"/>
        <d v="1989-01-10T00:00:00Z"/>
        <d v="1990-02-27T00:00:00Z"/>
        <d v="1986-09-03T00:00:00Z"/>
        <d v="2003-03-17T00:00:00Z"/>
        <d v="1999-01-03T00:00:00Z"/>
        <d v="2001-03-20T00:00:00Z"/>
        <d v="1999-04-25T00:00:00Z"/>
        <d v="2007-05-30T00:00:00Z"/>
        <d v="2001-10-02T00:00:00Z"/>
        <d v="1999-08-07T00:00:00Z"/>
        <d v="2006-02-24T00:00:00Z"/>
        <d v="1986-12-25T00:00:00Z"/>
        <d v="1979-08-16T00:00:00Z"/>
        <d v="1975-12-11T00:00:00Z"/>
        <d v="1997-12-12T00:00:00Z"/>
        <d v="1986-09-29T00:00:00Z"/>
        <d v="1979-04-16T00:00:00Z"/>
        <d v="1995-05-09T00:00:00Z"/>
        <d v="1976-12-02T00:00:00Z"/>
        <d v="1979-09-13T00:00:00Z"/>
        <d v="1981-05-07T00:00:00Z"/>
        <d v="2003-01-21T00:00:00Z"/>
        <d v="1996-07-13T00:00:00Z"/>
        <d v="2000-11-13T00:00:00Z"/>
        <d v="1992-08-12T00:00:00Z"/>
        <d v="1979-10-06T00:00:00Z"/>
        <d v="1995-05-17T00:00:00Z"/>
        <d v="1992-01-14T00:00:00Z"/>
        <d v="2002-04-01T00:00:00Z"/>
        <d v="2003-09-07T00:00:00Z"/>
        <d v="1999-09-07T00:00:00Z"/>
        <d v="2003-04-01T00:00:00Z"/>
        <d v="2001-03-27T00:00:00Z"/>
        <d v="1997-03-24T00:00:00Z"/>
        <d v="1999-12-15T00:00:00Z"/>
        <d v="1978-10-22T00:00:00Z"/>
        <d v="1998-01-17T00:00:00Z"/>
        <d v="1994-01-27T00:00:00Z"/>
        <d v="2003-01-03T00:00:00Z"/>
        <d v="1994-09-05T00:00:00Z"/>
        <d v="1991-11-03T00:00:00Z"/>
        <d v="2006-12-17T00:00:00Z"/>
        <d v="2001-08-20T00:00:00Z"/>
        <d v="1992-03-12T00:00:00Z"/>
        <d v="1990-05-19T00:00:00Z"/>
        <d v="1998-07-31T00:00:00Z"/>
        <d v="1993-12-29T00:00:00Z"/>
        <d v="1991-09-30T00:00:00Z"/>
        <d v="1998-03-08T00:00:00Z"/>
        <d v="2001-09-20T00:00:00Z"/>
        <d v="1986-12-31T00:00:00Z"/>
        <d v="1998-07-21T00:00:00Z"/>
        <d v="1982-11-04T00:00:00Z"/>
        <d v="2002-01-14T00:00:00Z"/>
        <d v="1995-12-29T00:00:00Z"/>
        <d v="1991-12-20T00:00:00Z"/>
        <d v="1985-11-06T00:00:00Z"/>
        <d v="1994-05-28T00:00:00Z"/>
        <d v="2008-01-29T00:00:00Z"/>
        <d v="1989-09-28T00:00:00Z"/>
        <d v="2001-08-03T00:00:00Z"/>
        <d v="1986-10-18T00:00:00Z"/>
        <d v="1991-08-26T00:00:00Z"/>
        <d v="2000-02-29T00:00:00Z"/>
        <d v="1999-08-18T00:00:00Z"/>
        <d v="1995-09-04T00:00:00Z"/>
        <d v="1995-07-06T00:00:00Z"/>
        <d v="1986-06-30T00:00:00Z"/>
        <d v="1981-04-15T00:00:00Z"/>
        <d v="1998-01-14T00:00:00Z"/>
        <d v="1973-02-15T00:00:00Z"/>
        <d v="1987-09-26T00:00:00Z"/>
        <d v="1974-03-18T00:00:00Z"/>
        <d v="1992-04-27T00:00:00Z"/>
        <d v="1978-11-17T00:00:00Z"/>
        <d v="1986-10-26T00:00:00Z"/>
        <d v="1973-05-15T00:00:00Z"/>
        <d v="1984-11-15T00:00:00Z"/>
        <d v="1996-11-29T00:00:00Z"/>
        <d v="1995-04-29T00:00:00Z"/>
        <d v="1988-11-06T00:00:00Z"/>
        <d v="2000-01-16T00:00:00Z"/>
        <d v="1986-09-04T00:00:00Z"/>
        <d v="1984-10-08T00:00:00Z"/>
        <d v="1976-02-28T00:00:00Z"/>
        <d v="1999-06-19T00:00:00Z"/>
        <d v="2007-05-23T00:00:00Z"/>
        <d v="1977-12-29T00:00:00Z"/>
        <d v="1983-09-10T00:00:00Z"/>
        <d v="1996-01-24T00:00:00Z"/>
        <d v="2002-02-14T00:00:00Z"/>
        <d v="1995-09-22T00:00:00Z"/>
        <d v="1992-01-05T00:00:00Z"/>
        <d v="1999-12-18T00:00:00Z"/>
        <d v="1990-05-15T00:00:00Z"/>
        <d v="1999-06-08T00:00:00Z"/>
        <d v="1979-08-20T00:00:00Z"/>
        <d v="1980-01-03T00:00:00Z"/>
        <d v="1996-04-14T00:00:00Z"/>
        <d v="1980-01-29T00:00:00Z"/>
        <d v="2006-10-15T00:00:00Z"/>
        <d v="1994-02-18T00:00:00Z"/>
        <d v="1977-01-14T00:00:00Z"/>
        <d v="1995-07-28T00:00:00Z"/>
        <d v="1990-09-11T00:00:00Z"/>
        <d v="1967-06-16T00:00:00Z"/>
        <d v="1992-04-02T00:00:00Z"/>
        <d v="1990-05-05T00:00:00Z"/>
        <d v="2001-03-28T00:00:00Z"/>
      </sharedItems>
    </cacheField>
    <cacheField name="gender" numFmtId="0">
      <sharedItems>
        <s v="female"/>
        <s v="male"/>
      </sharedItems>
    </cacheField>
    <cacheField name="race_category" numFmtId="0">
      <sharedItems>
        <s v="10_km"/>
        <s v="20_km"/>
        <s v="50_km"/>
        <s v="100_mile"/>
        <s v="80_km"/>
      </sharedItems>
    </cacheField>
    <cacheField name="bib_number" numFmtId="3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</sharedItems>
    </cacheField>
    <cacheField name="Tshirt-Size" numFmtId="0">
      <sharedItems>
        <s v="M"/>
        <s v="XXL"/>
        <s v="S"/>
        <s v="L"/>
        <s v="XS"/>
        <s v="XL"/>
      </sharedItems>
    </cacheField>
    <cacheField name="Flag" numFmtId="0">
      <sharedItems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I18" firstHeaderRow="0" firstDataRow="2" firstDataCol="1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lumn 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i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race_category" axis="axisRow" dataField="1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bib_number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t="default"/>
      </items>
    </pivotField>
    <pivotField name="Tshirt-Size" axis="axisCol" compact="0" outline="0" multipleItemSelectionAllowed="1" showAll="0" sortType="ascending">
      <items>
        <item x="3"/>
        <item x="0"/>
        <item x="2"/>
        <item x="5"/>
        <item x="4"/>
        <item x="1"/>
        <item t="default"/>
      </items>
    </pivotField>
    <pivotField name="Flag" compact="0" outline="0" multipleItemSelectionAllowed="1" showAll="0">
      <items>
        <item x="0"/>
        <item t="default"/>
      </items>
    </pivotField>
  </pivotFields>
  <rowFields>
    <field x="9"/>
    <field x="8"/>
  </rowFields>
  <colFields>
    <field x="11"/>
  </colFields>
  <dataFields>
    <dataField name="COUNTA of race_category" fld="9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D7" firstHeaderRow="0" firstDataRow="2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lumn 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t="default"/>
      </items>
    </pivotField>
    <pivotField name="i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d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race_category" axis="axisRow" dataField="1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bib_number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t="default"/>
      </items>
    </pivotField>
    <pivotField name="Tshirt-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lag" compact="0" outline="0" multipleItemSelectionAllowed="1" showAll="0">
      <items>
        <item x="0"/>
        <item t="default"/>
      </items>
    </pivotField>
  </pivotFields>
  <rowFields>
    <field x="9"/>
  </rowFields>
  <colFields>
    <field x="-2"/>
  </colFields>
  <dataFields>
    <dataField name="COUNTA of race_category" fld="9" subtotal="count" baseField="0"/>
    <dataField name="MIN of bib_number" fld="10" subtotal="min" baseField="0"/>
    <dataField name="MAX of bib_number" fld="10" subtotal="max" baseField="0"/>
  </dataFields>
</pivotTableDefinition>
</file>

<file path=xl/tables/table1.xml><?xml version="1.0" encoding="utf-8"?>
<table xmlns="http://schemas.openxmlformats.org/spreadsheetml/2006/main" ref="A1:M605" displayName="Table1" name="Table1" id="1">
  <autoFilter ref="$A$1:$M$605"/>
  <tableColumns count="13">
    <tableColumn name="s.no" id="1"/>
    <tableColumn name="name" id="2"/>
    <tableColumn name="country" id="3"/>
    <tableColumn name="Column 13" id="4"/>
    <tableColumn name="phone" id="5"/>
    <tableColumn name="email" id="6"/>
    <tableColumn name="itra" id="7"/>
    <tableColumn name="dob" id="8"/>
    <tableColumn name="gender" id="9"/>
    <tableColumn name="race_category" id="10"/>
    <tableColumn name="bib_number" id="11"/>
    <tableColumn name="Tshirt-Size" id="12"/>
    <tableColumn name="Flag" id="13"/>
  </tableColumns>
  <tableStyleInfo name="FINAL-style" showColumnStripes="0" showFirstColumn="1" showLastColumn="1" showRowStripes="1"/>
</table>
</file>

<file path=xl/tables/table2.xml><?xml version="1.0" encoding="utf-8"?>
<table xmlns="http://schemas.openxmlformats.org/spreadsheetml/2006/main" ref="A1:AG586" displayName="Table2" name="Table2" id="2">
  <autoFilter ref="$A$1:$AG$586">
    <filterColumn colId="9">
      <filters>
        <filter val="10_km"/>
      </filters>
    </filterColumn>
  </autoFilter>
  <tableColumns count="33">
    <tableColumn name="token" id="1"/>
    <tableColumn name="status" id="2"/>
    <tableColumn name="name" id="3"/>
    <tableColumn name="country" id="4"/>
    <tableColumn name="phone" id="5"/>
    <tableColumn name="email" id="6"/>
    <tableColumn name="itra" id="7"/>
    <tableColumn name="dob" id="8"/>
    <tableColumn name="gender" id="9"/>
    <tableColumn name="race_category" id="10"/>
    <tableColumn name="support_only" id="11"/>
    <tableColumn name="support_runner" id="12"/>
    <tableColumn name="support_race_category" id="13"/>
    <tableColumn name="own_amount" id="14"/>
    <tableColumn name="support_amount" id="15"/>
    <tableColumn name="support_discount_applied" id="16"/>
    <tableColumn name="support_coupon_code" id="17"/>
    <tableColumn name="supporter_anonymous" id="18"/>
    <tableColumn name="supporter_display_name" id="19"/>
    <tableColumn name="supporter_image_url" id="20"/>
    <tableColumn name="tshirt_size" id="21"/>
    <tableColumn name="transportation" id="22"/>
    <tableColumn name="stay" id="23"/>
    <tableColumn name="lunch" id="24"/>
    <tableColumn name="pickup_location" id="25"/>
    <tableColumn name="total" id="26"/>
    <tableColumn name="coupon_code" id="27"/>
    <tableColumn name="discount_applied" id="28"/>
    <tableColumn name="payment_method" id="29"/>
    <tableColumn name="paid_by_admin" id="30"/>
    <tableColumn name="bib_number" id="31"/>
    <tableColumn name="created_at" id="32"/>
    <tableColumn name="remarks" id="33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13"/>
    <col customWidth="1" min="3" max="3" width="17.38"/>
    <col customWidth="1" min="4" max="4" width="21.0"/>
    <col customWidth="1" min="6" max="6" width="26.38"/>
    <col customWidth="1" min="10" max="10" width="15.88"/>
    <col customWidth="1" min="11" max="11" width="14.25"/>
    <col customWidth="1" min="13" max="13" width="23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</row>
    <row r="2" ht="22.5" customHeight="1">
      <c r="A2" s="5">
        <v>1.0</v>
      </c>
      <c r="B2" s="5" t="s">
        <v>13</v>
      </c>
      <c r="C2" s="5" t="s">
        <v>14</v>
      </c>
      <c r="D2" s="6" t="str">
        <f>IFERROR(__xludf.DUMMYFUNCTION("INDEX(IMPORTDATA(""https://raw.githubusercontent.com/lukes/ISO-3166-Countries-with-Regional-Codes/master/all/all.csv""), MATCH(C2, INDEX(IMPORTDATA(""https://raw.githubusercontent.com/lukes/ISO-3166-Countries-with-Regional-Codes/master/all/all.csv""), 0, "&amp;"1), 0), 2)"),"NP")</f>
        <v>NP</v>
      </c>
      <c r="E2" s="5">
        <v>9.813034988E9</v>
      </c>
      <c r="F2" s="5" t="s">
        <v>15</v>
      </c>
      <c r="H2" s="7">
        <v>31155.0</v>
      </c>
      <c r="I2" s="5" t="s">
        <v>16</v>
      </c>
      <c r="J2" s="8" t="s">
        <v>17</v>
      </c>
      <c r="K2" s="9">
        <v>101.0</v>
      </c>
      <c r="L2" s="10" t="s">
        <v>18</v>
      </c>
      <c r="M2" s="6" t="str">
        <f t="shared" ref="M2:M356" si="1">IMAGE(CONCATENATE("https://flagsapi.com/",D2,"/flat/64.png"),4,100,100)</f>
        <v/>
      </c>
      <c r="N2" s="11"/>
    </row>
    <row r="3" ht="22.5" customHeight="1">
      <c r="A3" s="5">
        <f t="shared" ref="A3:A163" si="2">A2+1</f>
        <v>2</v>
      </c>
      <c r="B3" s="5" t="s">
        <v>19</v>
      </c>
      <c r="C3" s="5" t="s">
        <v>14</v>
      </c>
      <c r="D3" s="6" t="str">
        <f>IFERROR(__xludf.DUMMYFUNCTION("INDEX(IMPORTDATA(""https://raw.githubusercontent.com/lukes/ISO-3166-Countries-with-Regional-Codes/master/all/all.csv""), MATCH(C3, INDEX(IMPORTDATA(""https://raw.githubusercontent.com/lukes/ISO-3166-Countries-with-Regional-Codes/master/all/all.csv""), 0, "&amp;"1), 0), 2)"),"NP")</f>
        <v>NP</v>
      </c>
      <c r="E3" s="5" t="s">
        <v>20</v>
      </c>
      <c r="F3" s="5" t="s">
        <v>21</v>
      </c>
      <c r="H3" s="12">
        <v>29441.0</v>
      </c>
      <c r="I3" s="5" t="s">
        <v>16</v>
      </c>
      <c r="J3" s="8" t="s">
        <v>17</v>
      </c>
      <c r="K3" s="9">
        <v>102.0</v>
      </c>
      <c r="L3" s="10" t="s">
        <v>22</v>
      </c>
      <c r="M3" s="6" t="str">
        <f t="shared" si="1"/>
        <v/>
      </c>
      <c r="N3" s="11" t="s">
        <v>23</v>
      </c>
    </row>
    <row r="4" ht="22.5" customHeight="1">
      <c r="A4" s="5">
        <f t="shared" si="2"/>
        <v>3</v>
      </c>
      <c r="B4" s="5" t="s">
        <v>24</v>
      </c>
      <c r="C4" s="5" t="s">
        <v>14</v>
      </c>
      <c r="D4" s="6" t="str">
        <f>IFERROR(__xludf.DUMMYFUNCTION("INDEX(IMPORTDATA(""https://raw.githubusercontent.com/lukes/ISO-3166-Countries-with-Regional-Codes/master/all/all.csv""), MATCH(C4, INDEX(IMPORTDATA(""https://raw.githubusercontent.com/lukes/ISO-3166-Countries-with-Regional-Codes/master/all/all.csv""), 0, "&amp;"1), 0), 2)"),"NP")</f>
        <v>NP</v>
      </c>
      <c r="E4" s="5">
        <v>9.701422912E9</v>
      </c>
      <c r="F4" s="5" t="s">
        <v>25</v>
      </c>
      <c r="H4" s="7">
        <v>34391.0</v>
      </c>
      <c r="I4" s="5" t="s">
        <v>16</v>
      </c>
      <c r="J4" s="8" t="s">
        <v>17</v>
      </c>
      <c r="K4" s="9">
        <v>103.0</v>
      </c>
      <c r="L4" s="10" t="s">
        <v>18</v>
      </c>
      <c r="M4" s="6" t="str">
        <f t="shared" si="1"/>
        <v/>
      </c>
      <c r="N4" s="11" t="s">
        <v>26</v>
      </c>
    </row>
    <row r="5" ht="22.5" customHeight="1">
      <c r="A5" s="5">
        <f t="shared" si="2"/>
        <v>4</v>
      </c>
      <c r="B5" s="5" t="s">
        <v>27</v>
      </c>
      <c r="C5" s="5" t="s">
        <v>14</v>
      </c>
      <c r="D5" s="6" t="str">
        <f>IFERROR(__xludf.DUMMYFUNCTION("INDEX(IMPORTDATA(""https://raw.githubusercontent.com/lukes/ISO-3166-Countries-with-Regional-Codes/master/all/all.csv""), MATCH(C5, INDEX(IMPORTDATA(""https://raw.githubusercontent.com/lukes/ISO-3166-Countries-with-Regional-Codes/master/all/all.csv""), 0, "&amp;"1), 0), 2)"),"NP")</f>
        <v>NP</v>
      </c>
      <c r="E5" s="5">
        <v>9.851234E9</v>
      </c>
      <c r="F5" s="5" t="s">
        <v>28</v>
      </c>
      <c r="H5" s="12">
        <v>33065.0</v>
      </c>
      <c r="I5" s="5" t="s">
        <v>16</v>
      </c>
      <c r="J5" s="8" t="s">
        <v>17</v>
      </c>
      <c r="K5" s="9">
        <v>104.0</v>
      </c>
      <c r="L5" s="10" t="s">
        <v>29</v>
      </c>
      <c r="M5" s="6" t="str">
        <f t="shared" si="1"/>
        <v/>
      </c>
      <c r="N5" s="11" t="s">
        <v>30</v>
      </c>
    </row>
    <row r="6" ht="22.5" customHeight="1">
      <c r="A6" s="5">
        <f t="shared" si="2"/>
        <v>5</v>
      </c>
      <c r="B6" s="5" t="s">
        <v>31</v>
      </c>
      <c r="C6" s="5" t="s">
        <v>14</v>
      </c>
      <c r="D6" s="6" t="str">
        <f>IFERROR(__xludf.DUMMYFUNCTION("INDEX(IMPORTDATA(""https://raw.githubusercontent.com/lukes/ISO-3166-Countries-with-Regional-Codes/master/all/all.csv""), MATCH(C6, INDEX(IMPORTDATA(""https://raw.githubusercontent.com/lukes/ISO-3166-Countries-with-Regional-Codes/master/all/all.csv""), 0, "&amp;"1), 0), 2)"),"NP")</f>
        <v>NP</v>
      </c>
      <c r="E6" s="5">
        <v>9.810109339E9</v>
      </c>
      <c r="F6" s="5" t="s">
        <v>32</v>
      </c>
      <c r="H6" s="7">
        <v>36339.0</v>
      </c>
      <c r="I6" s="5" t="s">
        <v>16</v>
      </c>
      <c r="J6" s="8" t="s">
        <v>17</v>
      </c>
      <c r="K6" s="9">
        <v>105.0</v>
      </c>
      <c r="L6" s="10" t="s">
        <v>18</v>
      </c>
      <c r="M6" s="6" t="str">
        <f t="shared" si="1"/>
        <v/>
      </c>
      <c r="N6" s="13" t="s">
        <v>17</v>
      </c>
      <c r="O6" s="13">
        <v>159.0</v>
      </c>
    </row>
    <row r="7" ht="22.5" customHeight="1">
      <c r="A7" s="5">
        <f t="shared" si="2"/>
        <v>6</v>
      </c>
      <c r="B7" s="5" t="s">
        <v>33</v>
      </c>
      <c r="C7" s="5" t="s">
        <v>14</v>
      </c>
      <c r="D7" s="6" t="str">
        <f>IFERROR(__xludf.DUMMYFUNCTION("INDEX(IMPORTDATA(""https://raw.githubusercontent.com/lukes/ISO-3166-Countries-with-Regional-Codes/master/all/all.csv""), MATCH(C7, INDEX(IMPORTDATA(""https://raw.githubusercontent.com/lukes/ISO-3166-Countries-with-Regional-Codes/master/all/all.csv""), 0, "&amp;"1), 0), 2)"),"NP")</f>
        <v>NP</v>
      </c>
      <c r="E7" s="5">
        <v>9.849848385E9</v>
      </c>
      <c r="F7" s="5" t="s">
        <v>34</v>
      </c>
      <c r="H7" s="7">
        <v>33622.0</v>
      </c>
      <c r="I7" s="5" t="s">
        <v>16</v>
      </c>
      <c r="J7" s="8" t="s">
        <v>17</v>
      </c>
      <c r="K7" s="9">
        <v>106.0</v>
      </c>
      <c r="L7" s="10" t="s">
        <v>35</v>
      </c>
      <c r="M7" s="6" t="str">
        <f t="shared" si="1"/>
        <v/>
      </c>
      <c r="N7" s="13" t="s">
        <v>36</v>
      </c>
      <c r="O7" s="13">
        <v>73.0</v>
      </c>
    </row>
    <row r="8" ht="22.5" customHeight="1">
      <c r="A8" s="5">
        <f t="shared" si="2"/>
        <v>7</v>
      </c>
      <c r="B8" s="5" t="s">
        <v>37</v>
      </c>
      <c r="C8" s="5" t="s">
        <v>14</v>
      </c>
      <c r="D8" s="6" t="str">
        <f>IFERROR(__xludf.DUMMYFUNCTION("INDEX(IMPORTDATA(""https://raw.githubusercontent.com/lukes/ISO-3166-Countries-with-Regional-Codes/master/all/all.csv""), MATCH(C8, INDEX(IMPORTDATA(""https://raw.githubusercontent.com/lukes/ISO-3166-Countries-with-Regional-Codes/master/all/all.csv""), 0, "&amp;"1), 0), 2)"),"NP")</f>
        <v>NP</v>
      </c>
      <c r="E8" s="5">
        <v>9.823429109E9</v>
      </c>
      <c r="F8" s="5" t="s">
        <v>38</v>
      </c>
      <c r="H8" s="7">
        <v>31804.0</v>
      </c>
      <c r="I8" s="5" t="s">
        <v>16</v>
      </c>
      <c r="J8" s="8" t="s">
        <v>17</v>
      </c>
      <c r="K8" s="9">
        <v>107.0</v>
      </c>
      <c r="L8" s="10" t="s">
        <v>18</v>
      </c>
      <c r="M8" s="6" t="str">
        <f t="shared" si="1"/>
        <v/>
      </c>
      <c r="N8" s="13" t="s">
        <v>39</v>
      </c>
      <c r="O8" s="13">
        <v>198.0</v>
      </c>
    </row>
    <row r="9" ht="22.5" customHeight="1">
      <c r="A9" s="5">
        <f t="shared" si="2"/>
        <v>8</v>
      </c>
      <c r="B9" s="5" t="s">
        <v>40</v>
      </c>
      <c r="C9" s="5" t="s">
        <v>14</v>
      </c>
      <c r="D9" s="6" t="str">
        <f>IFERROR(__xludf.DUMMYFUNCTION("INDEX(IMPORTDATA(""https://raw.githubusercontent.com/lukes/ISO-3166-Countries-with-Regional-Codes/master/all/all.csv""), MATCH(C9, INDEX(IMPORTDATA(""https://raw.githubusercontent.com/lukes/ISO-3166-Countries-with-Regional-Codes/master/all/all.csv""), 0, "&amp;"1), 0), 2)"),"NP")</f>
        <v>NP</v>
      </c>
      <c r="E9" s="5">
        <v>9.818123204E9</v>
      </c>
      <c r="F9" s="5" t="s">
        <v>41</v>
      </c>
      <c r="H9" s="7">
        <v>38410.0</v>
      </c>
      <c r="I9" s="5" t="s">
        <v>16</v>
      </c>
      <c r="J9" s="8" t="s">
        <v>17</v>
      </c>
      <c r="K9" s="9">
        <v>108.0</v>
      </c>
      <c r="L9" s="10" t="s">
        <v>35</v>
      </c>
      <c r="M9" s="6" t="str">
        <f t="shared" si="1"/>
        <v/>
      </c>
      <c r="N9" s="13" t="s">
        <v>42</v>
      </c>
      <c r="O9" s="13">
        <v>124.0</v>
      </c>
    </row>
    <row r="10" ht="22.5" customHeight="1">
      <c r="A10" s="5">
        <f t="shared" si="2"/>
        <v>9</v>
      </c>
      <c r="B10" s="5" t="s">
        <v>43</v>
      </c>
      <c r="C10" s="5" t="s">
        <v>14</v>
      </c>
      <c r="D10" s="6" t="str">
        <f>IFERROR(__xludf.DUMMYFUNCTION("INDEX(IMPORTDATA(""https://raw.githubusercontent.com/lukes/ISO-3166-Countries-with-Regional-Codes/master/all/all.csv""), MATCH(C10, INDEX(IMPORTDATA(""https://raw.githubusercontent.com/lukes/ISO-3166-Countries-with-Regional-Codes/master/all/all.csv""), 0,"&amp;" 1), 0), 2)"),"NP")</f>
        <v>NP</v>
      </c>
      <c r="E10" s="5" t="s">
        <v>44</v>
      </c>
      <c r="F10" s="5" t="s">
        <v>45</v>
      </c>
      <c r="H10" s="12">
        <v>36685.0</v>
      </c>
      <c r="I10" s="5" t="s">
        <v>16</v>
      </c>
      <c r="J10" s="8" t="s">
        <v>17</v>
      </c>
      <c r="K10" s="9">
        <v>109.0</v>
      </c>
      <c r="L10" s="10" t="s">
        <v>18</v>
      </c>
      <c r="M10" s="6" t="str">
        <f t="shared" si="1"/>
        <v/>
      </c>
      <c r="N10" s="13" t="s">
        <v>46</v>
      </c>
      <c r="O10" s="13">
        <v>38.0</v>
      </c>
    </row>
    <row r="11" ht="22.5" customHeight="1">
      <c r="A11" s="5">
        <f t="shared" si="2"/>
        <v>10</v>
      </c>
      <c r="B11" s="5" t="s">
        <v>47</v>
      </c>
      <c r="C11" s="5" t="s">
        <v>14</v>
      </c>
      <c r="D11" s="6" t="str">
        <f>IFERROR(__xludf.DUMMYFUNCTION("INDEX(IMPORTDATA(""https://raw.githubusercontent.com/lukes/ISO-3166-Countries-with-Regional-Codes/master/all/all.csv""), MATCH(C11, INDEX(IMPORTDATA(""https://raw.githubusercontent.com/lukes/ISO-3166-Countries-with-Regional-Codes/master/all/all.csv""), 0,"&amp;" 1), 0), 2)"),"NP")</f>
        <v>NP</v>
      </c>
      <c r="E11" s="5" t="s">
        <v>48</v>
      </c>
      <c r="F11" s="5" t="s">
        <v>49</v>
      </c>
      <c r="H11" s="12">
        <v>31605.0</v>
      </c>
      <c r="I11" s="5" t="s">
        <v>16</v>
      </c>
      <c r="J11" s="8" t="s">
        <v>17</v>
      </c>
      <c r="K11" s="9">
        <v>110.0</v>
      </c>
      <c r="L11" s="10" t="s">
        <v>29</v>
      </c>
      <c r="M11" s="6" t="str">
        <f t="shared" si="1"/>
        <v/>
      </c>
    </row>
    <row r="12" ht="22.5" customHeight="1">
      <c r="A12" s="5">
        <f t="shared" si="2"/>
        <v>11</v>
      </c>
      <c r="B12" s="5" t="s">
        <v>50</v>
      </c>
      <c r="C12" s="5" t="s">
        <v>14</v>
      </c>
      <c r="D12" s="6" t="str">
        <f>IFERROR(__xludf.DUMMYFUNCTION("INDEX(IMPORTDATA(""https://raw.githubusercontent.com/lukes/ISO-3166-Countries-with-Regional-Codes/master/all/all.csv""), MATCH(C12, INDEX(IMPORTDATA(""https://raw.githubusercontent.com/lukes/ISO-3166-Countries-with-Regional-Codes/master/all/all.csv""), 0,"&amp;" 1), 0), 2)"),"NP")</f>
        <v>NP</v>
      </c>
      <c r="E12" s="5" t="s">
        <v>51</v>
      </c>
      <c r="F12" s="5" t="s">
        <v>52</v>
      </c>
      <c r="H12" s="7">
        <v>37212.0</v>
      </c>
      <c r="I12" s="5" t="s">
        <v>16</v>
      </c>
      <c r="J12" s="8" t="s">
        <v>17</v>
      </c>
      <c r="K12" s="9">
        <v>111.0</v>
      </c>
      <c r="L12" s="10" t="s">
        <v>29</v>
      </c>
      <c r="M12" s="6" t="str">
        <f t="shared" si="1"/>
        <v/>
      </c>
      <c r="N12" s="11" t="s">
        <v>53</v>
      </c>
    </row>
    <row r="13" ht="22.5" customHeight="1">
      <c r="A13" s="5">
        <f t="shared" si="2"/>
        <v>12</v>
      </c>
      <c r="B13" s="5" t="s">
        <v>54</v>
      </c>
      <c r="C13" s="5" t="s">
        <v>14</v>
      </c>
      <c r="D13" s="6" t="str">
        <f>IFERROR(__xludf.DUMMYFUNCTION("INDEX(IMPORTDATA(""https://raw.githubusercontent.com/lukes/ISO-3166-Countries-with-Regional-Codes/master/all/all.csv""), MATCH(C13, INDEX(IMPORTDATA(""https://raw.githubusercontent.com/lukes/ISO-3166-Countries-with-Regional-Codes/master/all/all.csv""), 0,"&amp;" 1), 0), 2)"),"NP")</f>
        <v>NP</v>
      </c>
      <c r="E13" s="5">
        <v>9.851078369E9</v>
      </c>
      <c r="F13" s="5" t="s">
        <v>55</v>
      </c>
      <c r="H13" s="12">
        <v>42827.0</v>
      </c>
      <c r="I13" s="5" t="s">
        <v>16</v>
      </c>
      <c r="J13" s="8" t="s">
        <v>17</v>
      </c>
      <c r="K13" s="9">
        <v>112.0</v>
      </c>
      <c r="L13" s="10" t="s">
        <v>56</v>
      </c>
      <c r="M13" s="6" t="str">
        <f t="shared" si="1"/>
        <v/>
      </c>
    </row>
    <row r="14" ht="22.5" customHeight="1">
      <c r="A14" s="5">
        <f t="shared" si="2"/>
        <v>13</v>
      </c>
      <c r="B14" s="5" t="s">
        <v>57</v>
      </c>
      <c r="C14" s="5" t="s">
        <v>14</v>
      </c>
      <c r="D14" s="6" t="str">
        <f>IFERROR(__xludf.DUMMYFUNCTION("INDEX(IMPORTDATA(""https://raw.githubusercontent.com/lukes/ISO-3166-Countries-with-Regional-Codes/master/all/all.csv""), MATCH(C14, INDEX(IMPORTDATA(""https://raw.githubusercontent.com/lukes/ISO-3166-Countries-with-Regional-Codes/master/all/all.csv""), 0,"&amp;" 1), 0), 2)"),"NP")</f>
        <v>NP</v>
      </c>
      <c r="E14" s="5" t="s">
        <v>58</v>
      </c>
      <c r="F14" s="5" t="s">
        <v>59</v>
      </c>
      <c r="H14" s="12">
        <v>36193.0</v>
      </c>
      <c r="I14" s="5" t="s">
        <v>16</v>
      </c>
      <c r="J14" s="8" t="s">
        <v>17</v>
      </c>
      <c r="K14" s="9">
        <v>113.0</v>
      </c>
      <c r="L14" s="10" t="s">
        <v>18</v>
      </c>
      <c r="M14" s="6" t="str">
        <f t="shared" si="1"/>
        <v/>
      </c>
    </row>
    <row r="15" ht="22.5" customHeight="1">
      <c r="A15" s="5">
        <f t="shared" si="2"/>
        <v>14</v>
      </c>
      <c r="B15" s="5" t="s">
        <v>60</v>
      </c>
      <c r="C15" s="5" t="s">
        <v>14</v>
      </c>
      <c r="D15" s="6" t="str">
        <f>IFERROR(__xludf.DUMMYFUNCTION("INDEX(IMPORTDATA(""https://raw.githubusercontent.com/lukes/ISO-3166-Countries-with-Regional-Codes/master/all/all.csv""), MATCH(C15, INDEX(IMPORTDATA(""https://raw.githubusercontent.com/lukes/ISO-3166-Countries-with-Regional-Codes/master/all/all.csv""), 0,"&amp;" 1), 0), 2)"),"NP")</f>
        <v>NP</v>
      </c>
      <c r="E15" s="5">
        <v>9.866193321E9</v>
      </c>
      <c r="F15" s="5" t="s">
        <v>61</v>
      </c>
      <c r="H15" s="7">
        <v>37238.0</v>
      </c>
      <c r="I15" s="5" t="s">
        <v>16</v>
      </c>
      <c r="J15" s="8" t="s">
        <v>17</v>
      </c>
      <c r="K15" s="9">
        <v>114.0</v>
      </c>
      <c r="L15" s="10" t="s">
        <v>29</v>
      </c>
      <c r="M15" s="6" t="str">
        <f t="shared" si="1"/>
        <v/>
      </c>
      <c r="N15" s="11" t="s">
        <v>62</v>
      </c>
      <c r="O15" s="11" t="s">
        <v>63</v>
      </c>
    </row>
    <row r="16" ht="22.5" customHeight="1">
      <c r="A16" s="5">
        <f t="shared" si="2"/>
        <v>15</v>
      </c>
      <c r="B16" s="5" t="s">
        <v>64</v>
      </c>
      <c r="C16" s="5" t="s">
        <v>14</v>
      </c>
      <c r="D16" s="6" t="str">
        <f>IFERROR(__xludf.DUMMYFUNCTION("INDEX(IMPORTDATA(""https://raw.githubusercontent.com/lukes/ISO-3166-Countries-with-Regional-Codes/master/all/all.csv""), MATCH(C16, INDEX(IMPORTDATA(""https://raw.githubusercontent.com/lukes/ISO-3166-Countries-with-Regional-Codes/master/all/all.csv""), 0,"&amp;" 1), 0), 2)"),"NP")</f>
        <v>NP</v>
      </c>
      <c r="E16" s="5">
        <v>9.867935474E9</v>
      </c>
      <c r="F16" s="5" t="s">
        <v>65</v>
      </c>
      <c r="H16" s="7">
        <v>35692.0</v>
      </c>
      <c r="I16" s="5" t="s">
        <v>16</v>
      </c>
      <c r="J16" s="8" t="s">
        <v>17</v>
      </c>
      <c r="K16" s="9">
        <v>115.0</v>
      </c>
      <c r="L16" s="10" t="s">
        <v>18</v>
      </c>
      <c r="M16" s="6" t="str">
        <f t="shared" si="1"/>
        <v/>
      </c>
      <c r="O16" s="11" t="s">
        <v>66</v>
      </c>
    </row>
    <row r="17" ht="22.5" customHeight="1">
      <c r="A17" s="5">
        <f t="shared" si="2"/>
        <v>16</v>
      </c>
      <c r="B17" s="5" t="s">
        <v>67</v>
      </c>
      <c r="C17" s="5" t="s">
        <v>14</v>
      </c>
      <c r="D17" s="6" t="str">
        <f>IFERROR(__xludf.DUMMYFUNCTION("INDEX(IMPORTDATA(""https://raw.githubusercontent.com/lukes/ISO-3166-Countries-with-Regional-Codes/master/all/all.csv""), MATCH(C17, INDEX(IMPORTDATA(""https://raw.githubusercontent.com/lukes/ISO-3166-Countries-with-Regional-Codes/master/all/all.csv""), 0,"&amp;" 1), 0), 2)"),"NP")</f>
        <v>NP</v>
      </c>
      <c r="E17" s="5">
        <v>9.851123179E9</v>
      </c>
      <c r="F17" s="5" t="s">
        <v>68</v>
      </c>
      <c r="H17" s="12">
        <v>33490.0</v>
      </c>
      <c r="I17" s="5" t="s">
        <v>16</v>
      </c>
      <c r="J17" s="8" t="s">
        <v>17</v>
      </c>
      <c r="K17" s="9">
        <v>116.0</v>
      </c>
      <c r="L17" s="10" t="s">
        <v>18</v>
      </c>
      <c r="M17" s="6" t="str">
        <f t="shared" si="1"/>
        <v/>
      </c>
      <c r="O17" s="11" t="s">
        <v>69</v>
      </c>
    </row>
    <row r="18" ht="22.5" customHeight="1">
      <c r="A18" s="5">
        <f t="shared" si="2"/>
        <v>17</v>
      </c>
      <c r="B18" s="5" t="s">
        <v>70</v>
      </c>
      <c r="C18" s="5" t="s">
        <v>14</v>
      </c>
      <c r="D18" s="6" t="str">
        <f>IFERROR(__xludf.DUMMYFUNCTION("INDEX(IMPORTDATA(""https://raw.githubusercontent.com/lukes/ISO-3166-Countries-with-Regional-Codes/master/all/all.csv""), MATCH(C18, INDEX(IMPORTDATA(""https://raw.githubusercontent.com/lukes/ISO-3166-Countries-with-Regional-Codes/master/all/all.csv""), 0,"&amp;" 1), 0), 2)"),"NP")</f>
        <v>NP</v>
      </c>
      <c r="E18" s="5" t="s">
        <v>71</v>
      </c>
      <c r="F18" s="5" t="s">
        <v>72</v>
      </c>
      <c r="H18" s="7">
        <v>29936.0</v>
      </c>
      <c r="I18" s="5" t="s">
        <v>16</v>
      </c>
      <c r="J18" s="8" t="s">
        <v>17</v>
      </c>
      <c r="K18" s="9">
        <v>117.0</v>
      </c>
      <c r="L18" s="10" t="s">
        <v>18</v>
      </c>
      <c r="M18" s="6" t="str">
        <f t="shared" si="1"/>
        <v/>
      </c>
      <c r="O18" s="11" t="s">
        <v>73</v>
      </c>
    </row>
    <row r="19" ht="22.5" customHeight="1">
      <c r="A19" s="5">
        <f t="shared" si="2"/>
        <v>18</v>
      </c>
      <c r="B19" s="5" t="s">
        <v>74</v>
      </c>
      <c r="C19" s="5" t="s">
        <v>14</v>
      </c>
      <c r="D19" s="6" t="str">
        <f>IFERROR(__xludf.DUMMYFUNCTION("INDEX(IMPORTDATA(""https://raw.githubusercontent.com/lukes/ISO-3166-Countries-with-Regional-Codes/master/all/all.csv""), MATCH(C19, INDEX(IMPORTDATA(""https://raw.githubusercontent.com/lukes/ISO-3166-Countries-with-Regional-Codes/master/all/all.csv""), 0,"&amp;" 1), 0), 2)"),"NP")</f>
        <v>NP</v>
      </c>
      <c r="E19" s="5">
        <v>9.829226557E9</v>
      </c>
      <c r="F19" s="5" t="s">
        <v>75</v>
      </c>
      <c r="H19" s="7">
        <v>26189.0</v>
      </c>
      <c r="I19" s="5" t="s">
        <v>16</v>
      </c>
      <c r="J19" s="8" t="s">
        <v>17</v>
      </c>
      <c r="K19" s="9">
        <v>118.0</v>
      </c>
      <c r="L19" s="10" t="s">
        <v>35</v>
      </c>
      <c r="M19" s="6" t="str">
        <f t="shared" si="1"/>
        <v/>
      </c>
      <c r="O19" s="11" t="s">
        <v>76</v>
      </c>
    </row>
    <row r="20" ht="22.5" customHeight="1">
      <c r="A20" s="5">
        <f t="shared" si="2"/>
        <v>19</v>
      </c>
      <c r="B20" s="5" t="s">
        <v>77</v>
      </c>
      <c r="C20" s="5" t="s">
        <v>14</v>
      </c>
      <c r="D20" s="6" t="str">
        <f>IFERROR(__xludf.DUMMYFUNCTION("INDEX(IMPORTDATA(""https://raw.githubusercontent.com/lukes/ISO-3166-Countries-with-Regional-Codes/master/all/all.csv""), MATCH(C20, INDEX(IMPORTDATA(""https://raw.githubusercontent.com/lukes/ISO-3166-Countries-with-Regional-Codes/master/all/all.csv""), 0,"&amp;" 1), 0), 2)"),"NP")</f>
        <v>NP</v>
      </c>
      <c r="E20" s="5">
        <v>9.861220983E9</v>
      </c>
      <c r="F20" s="5" t="s">
        <v>78</v>
      </c>
      <c r="H20" s="12">
        <v>26884.0</v>
      </c>
      <c r="I20" s="5" t="s">
        <v>16</v>
      </c>
      <c r="J20" s="8" t="s">
        <v>17</v>
      </c>
      <c r="K20" s="9">
        <v>119.0</v>
      </c>
      <c r="L20" s="10" t="s">
        <v>29</v>
      </c>
      <c r="M20" s="6" t="str">
        <f t="shared" si="1"/>
        <v/>
      </c>
    </row>
    <row r="21" ht="22.5" customHeight="1">
      <c r="A21" s="5">
        <f t="shared" si="2"/>
        <v>20</v>
      </c>
      <c r="B21" s="5" t="s">
        <v>79</v>
      </c>
      <c r="C21" s="5" t="s">
        <v>14</v>
      </c>
      <c r="D21" s="6" t="str">
        <f>IFERROR(__xludf.DUMMYFUNCTION("INDEX(IMPORTDATA(""https://raw.githubusercontent.com/lukes/ISO-3166-Countries-with-Regional-Codes/master/all/all.csv""), MATCH(C21, INDEX(IMPORTDATA(""https://raw.githubusercontent.com/lukes/ISO-3166-Countries-with-Regional-Codes/master/all/all.csv""), 0,"&amp;" 1), 0), 2)"),"NP")</f>
        <v>NP</v>
      </c>
      <c r="E21" s="5">
        <v>9.803132936E9</v>
      </c>
      <c r="F21" s="5" t="s">
        <v>80</v>
      </c>
      <c r="H21" s="7">
        <v>36817.0</v>
      </c>
      <c r="I21" s="5" t="s">
        <v>16</v>
      </c>
      <c r="J21" s="8" t="s">
        <v>17</v>
      </c>
      <c r="K21" s="9">
        <v>120.0</v>
      </c>
      <c r="L21" s="10" t="s">
        <v>18</v>
      </c>
      <c r="M21" s="6" t="str">
        <f t="shared" si="1"/>
        <v/>
      </c>
    </row>
    <row r="22" ht="22.5" customHeight="1">
      <c r="A22" s="5">
        <f t="shared" si="2"/>
        <v>21</v>
      </c>
      <c r="B22" s="5" t="s">
        <v>81</v>
      </c>
      <c r="C22" s="5" t="s">
        <v>14</v>
      </c>
      <c r="D22" s="6" t="str">
        <f>IFERROR(__xludf.DUMMYFUNCTION("INDEX(IMPORTDATA(""https://raw.githubusercontent.com/lukes/ISO-3166-Countries-with-Regional-Codes/master/all/all.csv""), MATCH(C22, INDEX(IMPORTDATA(""https://raw.githubusercontent.com/lukes/ISO-3166-Countries-with-Regional-Codes/master/all/all.csv""), 0,"&amp;" 1), 0), 2)"),"NP")</f>
        <v>NP</v>
      </c>
      <c r="E22" s="5">
        <v>9.803497984E9</v>
      </c>
      <c r="F22" s="5" t="s">
        <v>82</v>
      </c>
      <c r="H22" s="7">
        <v>34365.0</v>
      </c>
      <c r="I22" s="5" t="s">
        <v>16</v>
      </c>
      <c r="J22" s="8" t="s">
        <v>17</v>
      </c>
      <c r="K22" s="9">
        <v>121.0</v>
      </c>
      <c r="L22" s="10" t="s">
        <v>35</v>
      </c>
      <c r="M22" s="6" t="str">
        <f t="shared" si="1"/>
        <v/>
      </c>
    </row>
    <row r="23" ht="22.5" customHeight="1">
      <c r="A23" s="5">
        <f t="shared" si="2"/>
        <v>22</v>
      </c>
      <c r="B23" s="5" t="s">
        <v>83</v>
      </c>
      <c r="C23" s="5" t="s">
        <v>14</v>
      </c>
      <c r="D23" s="6" t="str">
        <f>IFERROR(__xludf.DUMMYFUNCTION("INDEX(IMPORTDATA(""https://raw.githubusercontent.com/lukes/ISO-3166-Countries-with-Regional-Codes/master/all/all.csv""), MATCH(C23, INDEX(IMPORTDATA(""https://raw.githubusercontent.com/lukes/ISO-3166-Countries-with-Regional-Codes/master/all/all.csv""), 0,"&amp;" 1), 0), 2)"),"NP")</f>
        <v>NP</v>
      </c>
      <c r="E23" s="5">
        <v>9.816084276E9</v>
      </c>
      <c r="F23" s="5" t="s">
        <v>84</v>
      </c>
      <c r="H23" s="7">
        <v>40012.0</v>
      </c>
      <c r="I23" s="5" t="s">
        <v>16</v>
      </c>
      <c r="J23" s="8" t="s">
        <v>17</v>
      </c>
      <c r="K23" s="9">
        <v>122.0</v>
      </c>
      <c r="L23" s="10" t="s">
        <v>18</v>
      </c>
      <c r="M23" s="6" t="str">
        <f t="shared" si="1"/>
        <v/>
      </c>
    </row>
    <row r="24" ht="22.5" customHeight="1">
      <c r="A24" s="5">
        <f t="shared" si="2"/>
        <v>23</v>
      </c>
      <c r="B24" s="5" t="s">
        <v>85</v>
      </c>
      <c r="C24" s="5" t="s">
        <v>14</v>
      </c>
      <c r="D24" s="6" t="str">
        <f>IFERROR(__xludf.DUMMYFUNCTION("INDEX(IMPORTDATA(""https://raw.githubusercontent.com/lukes/ISO-3166-Countries-with-Regional-Codes/master/all/all.csv""), MATCH(C24, INDEX(IMPORTDATA(""https://raw.githubusercontent.com/lukes/ISO-3166-Countries-with-Regional-Codes/master/all/all.csv""), 0,"&amp;" 1), 0), 2)"),"NP")</f>
        <v>NP</v>
      </c>
      <c r="E24" s="5">
        <v>9.86347926E9</v>
      </c>
      <c r="F24" s="5" t="s">
        <v>86</v>
      </c>
      <c r="H24" s="12">
        <v>38910.0</v>
      </c>
      <c r="I24" s="5" t="s">
        <v>16</v>
      </c>
      <c r="J24" s="8" t="s">
        <v>17</v>
      </c>
      <c r="K24" s="9">
        <v>123.0</v>
      </c>
      <c r="L24" s="10" t="s">
        <v>18</v>
      </c>
      <c r="M24" s="6" t="str">
        <f t="shared" si="1"/>
        <v/>
      </c>
    </row>
    <row r="25" ht="22.5" customHeight="1">
      <c r="A25" s="5">
        <f t="shared" si="2"/>
        <v>24</v>
      </c>
      <c r="B25" s="5" t="s">
        <v>87</v>
      </c>
      <c r="C25" s="5" t="s">
        <v>14</v>
      </c>
      <c r="D25" s="6" t="str">
        <f>IFERROR(__xludf.DUMMYFUNCTION("INDEX(IMPORTDATA(""https://raw.githubusercontent.com/lukes/ISO-3166-Countries-with-Regional-Codes/master/all/all.csv""), MATCH(C25, INDEX(IMPORTDATA(""https://raw.githubusercontent.com/lukes/ISO-3166-Countries-with-Regional-Codes/master/all/all.csv""), 0,"&amp;" 1), 0), 2)"),"NP")</f>
        <v>NP</v>
      </c>
      <c r="E25" s="5">
        <v>9.843200086E9</v>
      </c>
      <c r="F25" s="5" t="s">
        <v>88</v>
      </c>
      <c r="G25" s="5">
        <v>7199400.0</v>
      </c>
      <c r="H25" s="12">
        <v>35312.0</v>
      </c>
      <c r="I25" s="5" t="s">
        <v>16</v>
      </c>
      <c r="J25" s="8" t="s">
        <v>17</v>
      </c>
      <c r="K25" s="9">
        <v>124.0</v>
      </c>
      <c r="L25" s="10" t="s">
        <v>89</v>
      </c>
      <c r="M25" s="6" t="str">
        <f t="shared" si="1"/>
        <v/>
      </c>
    </row>
    <row r="26" ht="22.5" customHeight="1">
      <c r="A26" s="5">
        <f t="shared" si="2"/>
        <v>25</v>
      </c>
      <c r="B26" s="5" t="s">
        <v>90</v>
      </c>
      <c r="C26" s="5" t="s">
        <v>14</v>
      </c>
      <c r="D26" s="6" t="str">
        <f>IFERROR(__xludf.DUMMYFUNCTION("INDEX(IMPORTDATA(""https://raw.githubusercontent.com/lukes/ISO-3166-Countries-with-Regional-Codes/master/all/all.csv""), MATCH(C26, INDEX(IMPORTDATA(""https://raw.githubusercontent.com/lukes/ISO-3166-Countries-with-Regional-Codes/master/all/all.csv""), 0,"&amp;" 1), 0), 2)"),"NP")</f>
        <v>NP</v>
      </c>
      <c r="E26" s="5">
        <v>9.843085348E9</v>
      </c>
      <c r="F26" s="5" t="s">
        <v>91</v>
      </c>
      <c r="H26" s="12">
        <v>37806.0</v>
      </c>
      <c r="I26" s="5" t="s">
        <v>16</v>
      </c>
      <c r="J26" s="8" t="s">
        <v>17</v>
      </c>
      <c r="K26" s="9">
        <v>125.0</v>
      </c>
      <c r="L26" s="10" t="s">
        <v>18</v>
      </c>
      <c r="M26" s="6" t="str">
        <f t="shared" si="1"/>
        <v/>
      </c>
    </row>
    <row r="27" ht="22.5" customHeight="1">
      <c r="A27" s="5">
        <f t="shared" si="2"/>
        <v>26</v>
      </c>
      <c r="B27" s="5" t="s">
        <v>92</v>
      </c>
      <c r="C27" s="5" t="s">
        <v>14</v>
      </c>
      <c r="D27" s="6" t="str">
        <f>IFERROR(__xludf.DUMMYFUNCTION("INDEX(IMPORTDATA(""https://raw.githubusercontent.com/lukes/ISO-3166-Countries-with-Regional-Codes/master/all/all.csv""), MATCH(C27, INDEX(IMPORTDATA(""https://raw.githubusercontent.com/lukes/ISO-3166-Countries-with-Regional-Codes/master/all/all.csv""), 0,"&amp;" 1), 0), 2)"),"NP")</f>
        <v>NP</v>
      </c>
      <c r="E27" s="5">
        <v>9.808046553E9</v>
      </c>
      <c r="F27" s="5" t="s">
        <v>93</v>
      </c>
      <c r="H27" s="7">
        <v>34847.0</v>
      </c>
      <c r="I27" s="5" t="s">
        <v>16</v>
      </c>
      <c r="J27" s="8" t="s">
        <v>17</v>
      </c>
      <c r="K27" s="9">
        <v>126.0</v>
      </c>
      <c r="L27" s="10" t="s">
        <v>56</v>
      </c>
      <c r="M27" s="6" t="str">
        <f t="shared" si="1"/>
        <v/>
      </c>
    </row>
    <row r="28" ht="22.5" customHeight="1">
      <c r="A28" s="5">
        <f t="shared" si="2"/>
        <v>27</v>
      </c>
      <c r="B28" s="5" t="s">
        <v>94</v>
      </c>
      <c r="C28" s="5" t="s">
        <v>14</v>
      </c>
      <c r="D28" s="6" t="str">
        <f>IFERROR(__xludf.DUMMYFUNCTION("INDEX(IMPORTDATA(""https://raw.githubusercontent.com/lukes/ISO-3166-Countries-with-Regional-Codes/master/all/all.csv""), MATCH(C28, INDEX(IMPORTDATA(""https://raw.githubusercontent.com/lukes/ISO-3166-Countries-with-Regional-Codes/master/all/all.csv""), 0,"&amp;" 1), 0), 2)"),"NP")</f>
        <v>NP</v>
      </c>
      <c r="E28" s="5">
        <v>9.866291019E9</v>
      </c>
      <c r="F28" s="5" t="s">
        <v>95</v>
      </c>
      <c r="H28" s="7">
        <v>37827.0</v>
      </c>
      <c r="I28" s="5" t="s">
        <v>16</v>
      </c>
      <c r="J28" s="8" t="s">
        <v>17</v>
      </c>
      <c r="K28" s="9">
        <v>127.0</v>
      </c>
      <c r="L28" s="10" t="s">
        <v>29</v>
      </c>
      <c r="M28" s="6" t="str">
        <f t="shared" si="1"/>
        <v/>
      </c>
    </row>
    <row r="29" ht="22.5" customHeight="1">
      <c r="A29" s="5">
        <f t="shared" si="2"/>
        <v>28</v>
      </c>
      <c r="B29" s="5" t="s">
        <v>96</v>
      </c>
      <c r="C29" s="5" t="s">
        <v>14</v>
      </c>
      <c r="D29" s="6" t="str">
        <f>IFERROR(__xludf.DUMMYFUNCTION("INDEX(IMPORTDATA(""https://raw.githubusercontent.com/lukes/ISO-3166-Countries-with-Regional-Codes/master/all/all.csv""), MATCH(C29, INDEX(IMPORTDATA(""https://raw.githubusercontent.com/lukes/ISO-3166-Countries-with-Regional-Codes/master/all/all.csv""), 0,"&amp;" 1), 0), 2)"),"NP")</f>
        <v>NP</v>
      </c>
      <c r="E29" s="5">
        <v>9.86167E9</v>
      </c>
      <c r="F29" s="5" t="s">
        <v>97</v>
      </c>
      <c r="H29" s="7">
        <v>32873.0</v>
      </c>
      <c r="I29" s="5" t="s">
        <v>16</v>
      </c>
      <c r="J29" s="8" t="s">
        <v>17</v>
      </c>
      <c r="K29" s="9">
        <v>128.0</v>
      </c>
      <c r="L29" s="10" t="s">
        <v>18</v>
      </c>
      <c r="M29" s="6" t="str">
        <f t="shared" si="1"/>
        <v/>
      </c>
    </row>
    <row r="30" ht="22.5" customHeight="1">
      <c r="A30" s="5">
        <f t="shared" si="2"/>
        <v>29</v>
      </c>
      <c r="B30" s="5" t="s">
        <v>98</v>
      </c>
      <c r="C30" s="5" t="s">
        <v>14</v>
      </c>
      <c r="D30" s="6" t="str">
        <f>IFERROR(__xludf.DUMMYFUNCTION("INDEX(IMPORTDATA(""https://raw.githubusercontent.com/lukes/ISO-3166-Countries-with-Regional-Codes/master/all/all.csv""), MATCH(C30, INDEX(IMPORTDATA(""https://raw.githubusercontent.com/lukes/ISO-3166-Countries-with-Regional-Codes/master/all/all.csv""), 0,"&amp;" 1), 0), 2)"),"NP")</f>
        <v>NP</v>
      </c>
      <c r="E30" s="5">
        <v>9.81429655E8</v>
      </c>
      <c r="F30" s="5" t="s">
        <v>99</v>
      </c>
      <c r="H30" s="12">
        <v>37808.0</v>
      </c>
      <c r="I30" s="5" t="s">
        <v>16</v>
      </c>
      <c r="J30" s="8" t="s">
        <v>17</v>
      </c>
      <c r="K30" s="9">
        <v>129.0</v>
      </c>
      <c r="L30" s="10" t="s">
        <v>18</v>
      </c>
      <c r="M30" s="6" t="str">
        <f t="shared" si="1"/>
        <v/>
      </c>
    </row>
    <row r="31" ht="22.5" customHeight="1">
      <c r="A31" s="5">
        <f t="shared" si="2"/>
        <v>30</v>
      </c>
      <c r="B31" s="5" t="s">
        <v>100</v>
      </c>
      <c r="C31" s="5" t="s">
        <v>14</v>
      </c>
      <c r="D31" s="6" t="str">
        <f>IFERROR(__xludf.DUMMYFUNCTION("INDEX(IMPORTDATA(""https://raw.githubusercontent.com/lukes/ISO-3166-Countries-with-Regional-Codes/master/all/all.csv""), MATCH(C31, INDEX(IMPORTDATA(""https://raw.githubusercontent.com/lukes/ISO-3166-Countries-with-Regional-Codes/master/all/all.csv""), 0,"&amp;" 1), 0), 2)"),"NP")</f>
        <v>NP</v>
      </c>
      <c r="E31" s="5">
        <v>9.713525247E9</v>
      </c>
      <c r="F31" s="5" t="s">
        <v>101</v>
      </c>
      <c r="H31" s="12">
        <v>36535.0</v>
      </c>
      <c r="I31" s="5" t="s">
        <v>16</v>
      </c>
      <c r="J31" s="8" t="s">
        <v>17</v>
      </c>
      <c r="K31" s="9">
        <v>130.0</v>
      </c>
      <c r="L31" s="10" t="s">
        <v>18</v>
      </c>
      <c r="M31" s="6" t="str">
        <f t="shared" si="1"/>
        <v/>
      </c>
    </row>
    <row r="32" ht="22.5" customHeight="1">
      <c r="A32" s="5">
        <f t="shared" si="2"/>
        <v>31</v>
      </c>
      <c r="B32" s="5" t="s">
        <v>102</v>
      </c>
      <c r="C32" s="5" t="s">
        <v>14</v>
      </c>
      <c r="D32" s="6" t="str">
        <f>IFERROR(__xludf.DUMMYFUNCTION("INDEX(IMPORTDATA(""https://raw.githubusercontent.com/lukes/ISO-3166-Countries-with-Regional-Codes/master/all/all.csv""), MATCH(C32, INDEX(IMPORTDATA(""https://raw.githubusercontent.com/lukes/ISO-3166-Countries-with-Regional-Codes/master/all/all.csv""), 0,"&amp;" 1), 0), 2)"),"NP")</f>
        <v>NP</v>
      </c>
      <c r="E32" s="5" t="s">
        <v>103</v>
      </c>
      <c r="F32" s="5" t="s">
        <v>104</v>
      </c>
      <c r="H32" s="7">
        <v>25557.0</v>
      </c>
      <c r="I32" s="5" t="s">
        <v>16</v>
      </c>
      <c r="J32" s="8" t="s">
        <v>17</v>
      </c>
      <c r="K32" s="9">
        <v>131.0</v>
      </c>
      <c r="L32" s="10" t="s">
        <v>22</v>
      </c>
      <c r="M32" s="6" t="str">
        <f t="shared" si="1"/>
        <v/>
      </c>
    </row>
    <row r="33" ht="22.5" customHeight="1">
      <c r="A33" s="5">
        <f t="shared" si="2"/>
        <v>32</v>
      </c>
      <c r="B33" s="5" t="s">
        <v>105</v>
      </c>
      <c r="C33" s="5" t="s">
        <v>14</v>
      </c>
      <c r="D33" s="6" t="str">
        <f>IFERROR(__xludf.DUMMYFUNCTION("INDEX(IMPORTDATA(""https://raw.githubusercontent.com/lukes/ISO-3166-Countries-with-Regional-Codes/master/all/all.csv""), MATCH(C33, INDEX(IMPORTDATA(""https://raw.githubusercontent.com/lukes/ISO-3166-Countries-with-Regional-Codes/master/all/all.csv""), 0,"&amp;" 1), 0), 2)"),"NP")</f>
        <v>NP</v>
      </c>
      <c r="E33" s="5" t="s">
        <v>106</v>
      </c>
      <c r="F33" s="5" t="s">
        <v>107</v>
      </c>
      <c r="H33" s="7">
        <v>25557.0</v>
      </c>
      <c r="I33" s="5" t="s">
        <v>16</v>
      </c>
      <c r="J33" s="8" t="s">
        <v>17</v>
      </c>
      <c r="K33" s="9">
        <v>132.0</v>
      </c>
      <c r="L33" s="10" t="s">
        <v>18</v>
      </c>
      <c r="M33" s="6" t="str">
        <f t="shared" si="1"/>
        <v/>
      </c>
    </row>
    <row r="34" ht="22.5" customHeight="1">
      <c r="A34" s="5">
        <f t="shared" si="2"/>
        <v>33</v>
      </c>
      <c r="B34" s="5" t="s">
        <v>108</v>
      </c>
      <c r="C34" s="5" t="s">
        <v>14</v>
      </c>
      <c r="D34" s="6" t="str">
        <f>IFERROR(__xludf.DUMMYFUNCTION("INDEX(IMPORTDATA(""https://raw.githubusercontent.com/lukes/ISO-3166-Countries-with-Regional-Codes/master/all/all.csv""), MATCH(C34, INDEX(IMPORTDATA(""https://raw.githubusercontent.com/lukes/ISO-3166-Countries-with-Regional-Codes/master/all/all.csv""), 0,"&amp;" 1), 0), 2)"),"NP")</f>
        <v>NP</v>
      </c>
      <c r="E34" s="5" t="s">
        <v>109</v>
      </c>
      <c r="F34" s="5" t="s">
        <v>110</v>
      </c>
      <c r="H34" s="7">
        <v>25557.0</v>
      </c>
      <c r="I34" s="5" t="s">
        <v>16</v>
      </c>
      <c r="J34" s="8" t="s">
        <v>17</v>
      </c>
      <c r="K34" s="9">
        <v>133.0</v>
      </c>
      <c r="L34" s="10" t="s">
        <v>89</v>
      </c>
      <c r="M34" s="6" t="str">
        <f t="shared" si="1"/>
        <v/>
      </c>
    </row>
    <row r="35" ht="22.5" customHeight="1">
      <c r="A35" s="5">
        <f t="shared" si="2"/>
        <v>34</v>
      </c>
      <c r="B35" s="5" t="s">
        <v>111</v>
      </c>
      <c r="C35" s="5" t="s">
        <v>14</v>
      </c>
      <c r="D35" s="6" t="str">
        <f>IFERROR(__xludf.DUMMYFUNCTION("INDEX(IMPORTDATA(""https://raw.githubusercontent.com/lukes/ISO-3166-Countries-with-Regional-Codes/master/all/all.csv""), MATCH(C35, INDEX(IMPORTDATA(""https://raw.githubusercontent.com/lukes/ISO-3166-Countries-with-Regional-Codes/master/all/all.csv""), 0,"&amp;" 1), 0), 2)"),"NP")</f>
        <v>NP</v>
      </c>
      <c r="E35" s="5" t="s">
        <v>112</v>
      </c>
      <c r="F35" s="5" t="s">
        <v>113</v>
      </c>
      <c r="H35" s="7">
        <v>25557.0</v>
      </c>
      <c r="I35" s="5" t="s">
        <v>16</v>
      </c>
      <c r="J35" s="8" t="s">
        <v>17</v>
      </c>
      <c r="K35" s="9">
        <v>134.0</v>
      </c>
      <c r="L35" s="10" t="s">
        <v>89</v>
      </c>
      <c r="M35" s="6" t="str">
        <f t="shared" si="1"/>
        <v/>
      </c>
    </row>
    <row r="36" ht="22.5" customHeight="1">
      <c r="A36" s="5">
        <f t="shared" si="2"/>
        <v>35</v>
      </c>
      <c r="B36" s="5" t="s">
        <v>114</v>
      </c>
      <c r="C36" s="5" t="s">
        <v>14</v>
      </c>
      <c r="D36" s="6" t="str">
        <f>IFERROR(__xludf.DUMMYFUNCTION("INDEX(IMPORTDATA(""https://raw.githubusercontent.com/lukes/ISO-3166-Countries-with-Regional-Codes/master/all/all.csv""), MATCH(C36, INDEX(IMPORTDATA(""https://raw.githubusercontent.com/lukes/ISO-3166-Countries-with-Regional-Codes/master/all/all.csv""), 0,"&amp;" 1), 0), 2)"),"NP")</f>
        <v>NP</v>
      </c>
      <c r="E36" s="5" t="s">
        <v>115</v>
      </c>
      <c r="F36" s="5" t="s">
        <v>116</v>
      </c>
      <c r="H36" s="7">
        <v>25557.0</v>
      </c>
      <c r="I36" s="5" t="s">
        <v>16</v>
      </c>
      <c r="J36" s="8" t="s">
        <v>17</v>
      </c>
      <c r="K36" s="9">
        <v>135.0</v>
      </c>
      <c r="L36" s="10" t="s">
        <v>89</v>
      </c>
      <c r="M36" s="6" t="str">
        <f t="shared" si="1"/>
        <v/>
      </c>
    </row>
    <row r="37" ht="22.5" customHeight="1">
      <c r="A37" s="5">
        <f t="shared" si="2"/>
        <v>36</v>
      </c>
      <c r="B37" s="5" t="s">
        <v>117</v>
      </c>
      <c r="C37" s="5" t="s">
        <v>14</v>
      </c>
      <c r="D37" s="6" t="str">
        <f>IFERROR(__xludf.DUMMYFUNCTION("INDEX(IMPORTDATA(""https://raw.githubusercontent.com/lukes/ISO-3166-Countries-with-Regional-Codes/master/all/all.csv""), MATCH(C37, INDEX(IMPORTDATA(""https://raw.githubusercontent.com/lukes/ISO-3166-Countries-with-Regional-Codes/master/all/all.csv""), 0,"&amp;" 1), 0), 2)"),"NP")</f>
        <v>NP</v>
      </c>
      <c r="E37" s="5" t="s">
        <v>118</v>
      </c>
      <c r="F37" s="5" t="s">
        <v>119</v>
      </c>
      <c r="H37" s="7">
        <v>25557.0</v>
      </c>
      <c r="I37" s="5" t="s">
        <v>16</v>
      </c>
      <c r="J37" s="8" t="s">
        <v>17</v>
      </c>
      <c r="K37" s="9">
        <v>136.0</v>
      </c>
      <c r="L37" s="10" t="s">
        <v>18</v>
      </c>
      <c r="M37" s="6" t="str">
        <f t="shared" si="1"/>
        <v/>
      </c>
    </row>
    <row r="38" ht="22.5" customHeight="1">
      <c r="A38" s="5">
        <f t="shared" si="2"/>
        <v>37</v>
      </c>
      <c r="B38" s="5" t="s">
        <v>120</v>
      </c>
      <c r="C38" s="5" t="s">
        <v>14</v>
      </c>
      <c r="D38" s="6" t="str">
        <f>IFERROR(__xludf.DUMMYFUNCTION("INDEX(IMPORTDATA(""https://raw.githubusercontent.com/lukes/ISO-3166-Countries-with-Regional-Codes/master/all/all.csv""), MATCH(C38, INDEX(IMPORTDATA(""https://raw.githubusercontent.com/lukes/ISO-3166-Countries-with-Regional-Codes/master/all/all.csv""), 0,"&amp;" 1), 0), 2)"),"NP")</f>
        <v>NP</v>
      </c>
      <c r="E38" s="5">
        <v>9.861549962E9</v>
      </c>
      <c r="F38" s="5" t="s">
        <v>121</v>
      </c>
      <c r="H38" s="7">
        <v>37337.0</v>
      </c>
      <c r="I38" s="5" t="s">
        <v>16</v>
      </c>
      <c r="J38" s="8" t="s">
        <v>17</v>
      </c>
      <c r="K38" s="9">
        <v>137.0</v>
      </c>
      <c r="L38" s="10" t="s">
        <v>18</v>
      </c>
      <c r="M38" s="6" t="str">
        <f t="shared" si="1"/>
        <v/>
      </c>
    </row>
    <row r="39" ht="22.5" customHeight="1">
      <c r="A39" s="5">
        <f t="shared" si="2"/>
        <v>38</v>
      </c>
      <c r="B39" s="5" t="s">
        <v>122</v>
      </c>
      <c r="C39" s="5" t="s">
        <v>14</v>
      </c>
      <c r="D39" s="6" t="str">
        <f>IFERROR(__xludf.DUMMYFUNCTION("INDEX(IMPORTDATA(""https://raw.githubusercontent.com/lukes/ISO-3166-Countries-with-Regional-Codes/master/all/all.csv""), MATCH(C39, INDEX(IMPORTDATA(""https://raw.githubusercontent.com/lukes/ISO-3166-Countries-with-Regional-Codes/master/all/all.csv""), 0,"&amp;" 1), 0), 2)"),"NP")</f>
        <v>NP</v>
      </c>
      <c r="E39" s="5">
        <v>9.861549956E9</v>
      </c>
      <c r="F39" s="5" t="s">
        <v>123</v>
      </c>
      <c r="H39" s="7">
        <v>35703.0</v>
      </c>
      <c r="I39" s="5" t="s">
        <v>16</v>
      </c>
      <c r="J39" s="8" t="s">
        <v>17</v>
      </c>
      <c r="K39" s="9">
        <v>138.0</v>
      </c>
      <c r="L39" s="10" t="s">
        <v>35</v>
      </c>
      <c r="M39" s="6" t="str">
        <f t="shared" si="1"/>
        <v/>
      </c>
    </row>
    <row r="40" ht="22.5" customHeight="1">
      <c r="A40" s="5">
        <f t="shared" si="2"/>
        <v>39</v>
      </c>
      <c r="B40" s="5" t="s">
        <v>124</v>
      </c>
      <c r="C40" s="5" t="s">
        <v>14</v>
      </c>
      <c r="D40" s="6" t="str">
        <f>IFERROR(__xludf.DUMMYFUNCTION("INDEX(IMPORTDATA(""https://raw.githubusercontent.com/lukes/ISO-3166-Countries-with-Regional-Codes/master/all/all.csv""), MATCH(C40, INDEX(IMPORTDATA(""https://raw.githubusercontent.com/lukes/ISO-3166-Countries-with-Regional-Codes/master/all/all.csv""), 0,"&amp;" 1), 0), 2)"),"NP")</f>
        <v>NP</v>
      </c>
      <c r="E40" s="5">
        <v>9.860469551E9</v>
      </c>
      <c r="F40" s="5" t="s">
        <v>125</v>
      </c>
      <c r="H40" s="7">
        <v>36067.0</v>
      </c>
      <c r="I40" s="5" t="s">
        <v>16</v>
      </c>
      <c r="J40" s="8" t="s">
        <v>17</v>
      </c>
      <c r="K40" s="9">
        <v>139.0</v>
      </c>
      <c r="L40" s="10" t="s">
        <v>18</v>
      </c>
      <c r="M40" s="6" t="str">
        <f t="shared" si="1"/>
        <v/>
      </c>
    </row>
    <row r="41" ht="22.5" customHeight="1">
      <c r="A41" s="5">
        <f t="shared" si="2"/>
        <v>40</v>
      </c>
      <c r="B41" s="5" t="s">
        <v>126</v>
      </c>
      <c r="C41" s="5" t="s">
        <v>14</v>
      </c>
      <c r="D41" s="6" t="str">
        <f>IFERROR(__xludf.DUMMYFUNCTION("INDEX(IMPORTDATA(""https://raw.githubusercontent.com/lukes/ISO-3166-Countries-with-Regional-Codes/master/all/all.csv""), MATCH(C41, INDEX(IMPORTDATA(""https://raw.githubusercontent.com/lukes/ISO-3166-Countries-with-Regional-Codes/master/all/all.csv""), 0,"&amp;" 1), 0), 2)"),"NP")</f>
        <v>NP</v>
      </c>
      <c r="E41" s="5"/>
      <c r="F41" s="5"/>
      <c r="H41" s="7"/>
      <c r="I41" s="5" t="s">
        <v>16</v>
      </c>
      <c r="J41" s="8" t="s">
        <v>17</v>
      </c>
      <c r="K41" s="9">
        <v>140.0</v>
      </c>
      <c r="L41" s="10" t="s">
        <v>35</v>
      </c>
      <c r="M41" s="6" t="str">
        <f t="shared" si="1"/>
        <v/>
      </c>
    </row>
    <row r="42" ht="22.5" customHeight="1">
      <c r="A42" s="5">
        <f t="shared" si="2"/>
        <v>41</v>
      </c>
      <c r="B42" s="5" t="s">
        <v>127</v>
      </c>
      <c r="C42" s="5" t="s">
        <v>14</v>
      </c>
      <c r="D42" s="6" t="str">
        <f>IFERROR(__xludf.DUMMYFUNCTION("INDEX(IMPORTDATA(""https://raw.githubusercontent.com/lukes/ISO-3166-Countries-with-Regional-Codes/master/all/all.csv""), MATCH(C42, INDEX(IMPORTDATA(""https://raw.githubusercontent.com/lukes/ISO-3166-Countries-with-Regional-Codes/master/all/all.csv""), 0,"&amp;" 1), 0), 2)"),"NP")</f>
        <v>NP</v>
      </c>
      <c r="E42" s="5">
        <v>9.813177689E9</v>
      </c>
      <c r="F42" s="5" t="s">
        <v>128</v>
      </c>
      <c r="H42" s="7">
        <v>36180.0</v>
      </c>
      <c r="I42" s="5" t="s">
        <v>16</v>
      </c>
      <c r="J42" s="8" t="s">
        <v>17</v>
      </c>
      <c r="K42" s="9">
        <v>141.0</v>
      </c>
      <c r="L42" s="10" t="s">
        <v>56</v>
      </c>
      <c r="M42" s="6" t="str">
        <f t="shared" si="1"/>
        <v/>
      </c>
    </row>
    <row r="43" ht="22.5" customHeight="1">
      <c r="A43" s="5">
        <f t="shared" si="2"/>
        <v>42</v>
      </c>
      <c r="B43" s="5" t="s">
        <v>129</v>
      </c>
      <c r="C43" s="5" t="s">
        <v>130</v>
      </c>
      <c r="D43" s="6" t="str">
        <f>IFERROR(__xludf.DUMMYFUNCTION("INDEX(IMPORTDATA(""https://raw.githubusercontent.com/lukes/ISO-3166-Countries-with-Regional-Codes/master/all/all.csv""), MATCH(C43, INDEX(IMPORTDATA(""https://raw.githubusercontent.com/lukes/ISO-3166-Countries-with-Regional-Codes/master/all/all.csv""), 0,"&amp;" 1), 0), 2)"),"AF")</f>
        <v>AF</v>
      </c>
      <c r="E43" s="5" t="s">
        <v>131</v>
      </c>
      <c r="F43" s="5" t="s">
        <v>132</v>
      </c>
      <c r="H43" s="7">
        <v>25557.0</v>
      </c>
      <c r="I43" s="5" t="s">
        <v>16</v>
      </c>
      <c r="J43" s="8" t="s">
        <v>17</v>
      </c>
      <c r="K43" s="9">
        <v>142.0</v>
      </c>
      <c r="L43" s="10" t="s">
        <v>35</v>
      </c>
      <c r="M43" s="6" t="str">
        <f t="shared" si="1"/>
        <v/>
      </c>
    </row>
    <row r="44" ht="22.5" customHeight="1">
      <c r="A44" s="5">
        <f t="shared" si="2"/>
        <v>43</v>
      </c>
      <c r="B44" s="5" t="s">
        <v>133</v>
      </c>
      <c r="C44" s="5" t="s">
        <v>134</v>
      </c>
      <c r="D44" s="6" t="str">
        <f>IFERROR(__xludf.DUMMYFUNCTION("INDEX(IMPORTDATA(""https://raw.githubusercontent.com/lukes/ISO-3166-Countries-with-Regional-Codes/master/all/all.csv""), MATCH(C44, INDEX(IMPORTDATA(""https://raw.githubusercontent.com/lukes/ISO-3166-Countries-with-Regional-Codes/master/all/all.csv""), 0,"&amp;" 1), 0), 2)"),"AT")</f>
        <v>AT</v>
      </c>
      <c r="E44" s="5">
        <v>9.808974732E9</v>
      </c>
      <c r="F44" s="5" t="s">
        <v>135</v>
      </c>
      <c r="H44" s="12">
        <v>27978.0</v>
      </c>
      <c r="I44" s="5" t="s">
        <v>16</v>
      </c>
      <c r="J44" s="8" t="s">
        <v>17</v>
      </c>
      <c r="K44" s="9">
        <v>143.0</v>
      </c>
      <c r="L44" s="10" t="s">
        <v>29</v>
      </c>
      <c r="M44" s="6" t="str">
        <f t="shared" si="1"/>
        <v/>
      </c>
    </row>
    <row r="45" ht="22.5" customHeight="1">
      <c r="A45" s="5">
        <f t="shared" si="2"/>
        <v>44</v>
      </c>
      <c r="B45" s="5" t="s">
        <v>136</v>
      </c>
      <c r="C45" s="5" t="s">
        <v>137</v>
      </c>
      <c r="D45" s="6" t="str">
        <f>IFERROR(__xludf.DUMMYFUNCTION("INDEX(IMPORTDATA(""https://raw.githubusercontent.com/lukes/ISO-3166-Countries-with-Regional-Codes/master/all/all.csv""), MATCH(C45, INDEX(IMPORTDATA(""https://raw.githubusercontent.com/lukes/ISO-3166-Countries-with-Regional-Codes/master/all/all.csv""), 0,"&amp;" 1), 0), 2)"),"FR")</f>
        <v>FR</v>
      </c>
      <c r="E45" s="5">
        <v>9.709035287E9</v>
      </c>
      <c r="F45" s="5" t="s">
        <v>138</v>
      </c>
      <c r="H45" s="12">
        <v>35285.0</v>
      </c>
      <c r="I45" s="5" t="s">
        <v>16</v>
      </c>
      <c r="J45" s="8" t="s">
        <v>17</v>
      </c>
      <c r="K45" s="9">
        <v>144.0</v>
      </c>
      <c r="L45" s="10" t="s">
        <v>35</v>
      </c>
      <c r="M45" s="6" t="str">
        <f t="shared" si="1"/>
        <v/>
      </c>
    </row>
    <row r="46" ht="22.5" customHeight="1">
      <c r="A46" s="5">
        <f t="shared" si="2"/>
        <v>45</v>
      </c>
      <c r="B46" s="5" t="s">
        <v>139</v>
      </c>
      <c r="C46" s="5" t="s">
        <v>140</v>
      </c>
      <c r="D46" s="6" t="str">
        <f>IFERROR(__xludf.DUMMYFUNCTION("INDEX(IMPORTDATA(""https://raw.githubusercontent.com/lukes/ISO-3166-Countries-with-Regional-Codes/master/all/all.csv""), MATCH(C46, INDEX(IMPORTDATA(""https://raw.githubusercontent.com/lukes/ISO-3166-Countries-with-Regional-Codes/master/all/all.csv""), 0,"&amp;" 1), 0), 2)"),"DE")</f>
        <v>DE</v>
      </c>
      <c r="E46" s="5">
        <v>9.703755265E9</v>
      </c>
      <c r="F46" s="5" t="s">
        <v>141</v>
      </c>
      <c r="H46" s="7">
        <v>30176.0</v>
      </c>
      <c r="I46" s="5" t="s">
        <v>16</v>
      </c>
      <c r="J46" s="8" t="s">
        <v>17</v>
      </c>
      <c r="K46" s="9">
        <v>145.0</v>
      </c>
      <c r="L46" s="10" t="s">
        <v>29</v>
      </c>
      <c r="M46" s="6" t="str">
        <f t="shared" si="1"/>
        <v/>
      </c>
    </row>
    <row r="47" ht="22.5" customHeight="1">
      <c r="A47" s="5">
        <f t="shared" si="2"/>
        <v>46</v>
      </c>
      <c r="B47" s="5" t="s">
        <v>142</v>
      </c>
      <c r="C47" s="5" t="s">
        <v>143</v>
      </c>
      <c r="D47" s="6" t="str">
        <f>IFERROR(__xludf.DUMMYFUNCTION("INDEX(IMPORTDATA(""https://raw.githubusercontent.com/lukes/ISO-3166-Countries-with-Regional-Codes/master/all/all.csv""), MATCH(C47, INDEX(IMPORTDATA(""https://raw.githubusercontent.com/lukes/ISO-3166-Countries-with-Regional-Codes/master/all/all.csv""), 0,"&amp;" 1), 0), 2)"),"LK")</f>
        <v>LK</v>
      </c>
      <c r="E47" s="5" t="s">
        <v>144</v>
      </c>
      <c r="F47" s="5" t="s">
        <v>145</v>
      </c>
      <c r="H47" s="7">
        <v>25557.0</v>
      </c>
      <c r="I47" s="5" t="s">
        <v>16</v>
      </c>
      <c r="J47" s="8" t="s">
        <v>17</v>
      </c>
      <c r="K47" s="9">
        <v>146.0</v>
      </c>
      <c r="L47" s="10" t="s">
        <v>35</v>
      </c>
      <c r="M47" s="6" t="str">
        <f t="shared" si="1"/>
        <v/>
      </c>
    </row>
    <row r="48" ht="22.5" customHeight="1">
      <c r="A48" s="5">
        <f t="shared" si="2"/>
        <v>47</v>
      </c>
      <c r="B48" s="5" t="s">
        <v>146</v>
      </c>
      <c r="C48" s="5" t="s">
        <v>147</v>
      </c>
      <c r="D48" s="6" t="str">
        <f>IFERROR(__xludf.DUMMYFUNCTION("INDEX(IMPORTDATA(""https://raw.githubusercontent.com/lukes/ISO-3166-Countries-with-Regional-Codes/master/all/all.csv""), MATCH(C48, INDEX(IMPORTDATA(""https://raw.githubusercontent.com/lukes/ISO-3166-Countries-with-Regional-Codes/master/all/all.csv""), 0,"&amp;" 1), 0), 2)"),"GB")</f>
        <v>GB</v>
      </c>
      <c r="E48" s="5" t="s">
        <v>148</v>
      </c>
      <c r="F48" s="5" t="s">
        <v>149</v>
      </c>
      <c r="H48" s="7">
        <v>33190.0</v>
      </c>
      <c r="I48" s="5" t="s">
        <v>16</v>
      </c>
      <c r="J48" s="8" t="s">
        <v>17</v>
      </c>
      <c r="K48" s="9">
        <v>147.0</v>
      </c>
      <c r="L48" s="10" t="s">
        <v>89</v>
      </c>
      <c r="M48" s="6" t="str">
        <f t="shared" si="1"/>
        <v/>
      </c>
    </row>
    <row r="49" ht="22.5" customHeight="1">
      <c r="A49" s="5">
        <f t="shared" si="2"/>
        <v>48</v>
      </c>
      <c r="B49" s="5" t="s">
        <v>150</v>
      </c>
      <c r="C49" s="5" t="s">
        <v>151</v>
      </c>
      <c r="D49" s="6" t="str">
        <f>IFERROR(__xludf.DUMMYFUNCTION("INDEX(IMPORTDATA(""https://raw.githubusercontent.com/lukes/ISO-3166-Countries-with-Regional-Codes/master/all/all.csv""), MATCH(C49, INDEX(IMPORTDATA(""https://raw.githubusercontent.com/lukes/ISO-3166-Countries-with-Regional-Codes/master/all/all.csv""), 0,"&amp;" 1), 0), 2)"),"US")</f>
        <v>US</v>
      </c>
      <c r="E49" s="5" t="s">
        <v>152</v>
      </c>
      <c r="F49" s="5" t="s">
        <v>153</v>
      </c>
      <c r="H49" s="7">
        <v>34624.0</v>
      </c>
      <c r="I49" s="5" t="s">
        <v>16</v>
      </c>
      <c r="J49" s="8" t="s">
        <v>17</v>
      </c>
      <c r="K49" s="9">
        <v>148.0</v>
      </c>
      <c r="L49" s="10" t="s">
        <v>18</v>
      </c>
      <c r="M49" s="6" t="str">
        <f t="shared" si="1"/>
        <v/>
      </c>
    </row>
    <row r="50" ht="22.5" customHeight="1">
      <c r="A50" s="5">
        <f t="shared" si="2"/>
        <v>49</v>
      </c>
      <c r="B50" s="5" t="s">
        <v>154</v>
      </c>
      <c r="C50" s="5" t="s">
        <v>14</v>
      </c>
      <c r="D50" s="6" t="str">
        <f>IFERROR(__xludf.DUMMYFUNCTION("INDEX(IMPORTDATA(""https://raw.githubusercontent.com/lukes/ISO-3166-Countries-with-Regional-Codes/master/all/all.csv""), MATCH(C50, INDEX(IMPORTDATA(""https://raw.githubusercontent.com/lukes/ISO-3166-Countries-with-Regional-Codes/master/all/all.csv""), 0,"&amp;" 1), 0), 2)"),"NP")</f>
        <v>NP</v>
      </c>
      <c r="E50" s="5">
        <v>9.85125421E9</v>
      </c>
      <c r="F50" s="5" t="s">
        <v>155</v>
      </c>
      <c r="H50" s="7">
        <v>32738.0</v>
      </c>
      <c r="I50" s="5" t="s">
        <v>156</v>
      </c>
      <c r="J50" s="8" t="s">
        <v>17</v>
      </c>
      <c r="K50" s="9">
        <v>149.0</v>
      </c>
      <c r="L50" s="10" t="s">
        <v>89</v>
      </c>
      <c r="M50" s="6" t="str">
        <f t="shared" si="1"/>
        <v/>
      </c>
    </row>
    <row r="51" ht="22.5" customHeight="1">
      <c r="A51" s="5">
        <f t="shared" si="2"/>
        <v>50</v>
      </c>
      <c r="B51" s="5" t="s">
        <v>157</v>
      </c>
      <c r="C51" s="5" t="s">
        <v>14</v>
      </c>
      <c r="D51" s="6" t="str">
        <f>IFERROR(__xludf.DUMMYFUNCTION("INDEX(IMPORTDATA(""https://raw.githubusercontent.com/lukes/ISO-3166-Countries-with-Regional-Codes/master/all/all.csv""), MATCH(C51, INDEX(IMPORTDATA(""https://raw.githubusercontent.com/lukes/ISO-3166-Countries-with-Regional-Codes/master/all/all.csv""), 0,"&amp;" 1), 0), 2)"),"NP")</f>
        <v>NP</v>
      </c>
      <c r="E51" s="5">
        <v>9.851133926E9</v>
      </c>
      <c r="F51" s="5" t="s">
        <v>158</v>
      </c>
      <c r="H51" s="7">
        <v>26693.0</v>
      </c>
      <c r="I51" s="5" t="s">
        <v>156</v>
      </c>
      <c r="J51" s="8" t="s">
        <v>17</v>
      </c>
      <c r="K51" s="9">
        <v>150.0</v>
      </c>
      <c r="L51" s="10" t="s">
        <v>18</v>
      </c>
      <c r="M51" s="6" t="str">
        <f t="shared" si="1"/>
        <v/>
      </c>
    </row>
    <row r="52" ht="22.5" customHeight="1">
      <c r="A52" s="5">
        <f t="shared" si="2"/>
        <v>51</v>
      </c>
      <c r="B52" s="5" t="s">
        <v>159</v>
      </c>
      <c r="C52" s="5" t="s">
        <v>14</v>
      </c>
      <c r="D52" s="6" t="str">
        <f>IFERROR(__xludf.DUMMYFUNCTION("INDEX(IMPORTDATA(""https://raw.githubusercontent.com/lukes/ISO-3166-Countries-with-Regional-Codes/master/all/all.csv""), MATCH(C52, INDEX(IMPORTDATA(""https://raw.githubusercontent.com/lukes/ISO-3166-Countries-with-Regional-Codes/master/all/all.csv""), 0,"&amp;" 1), 0), 2)"),"NP")</f>
        <v>NP</v>
      </c>
      <c r="E52" s="5" t="s">
        <v>160</v>
      </c>
      <c r="F52" s="5" t="s">
        <v>161</v>
      </c>
      <c r="H52" s="7">
        <v>22271.0</v>
      </c>
      <c r="I52" s="5" t="s">
        <v>156</v>
      </c>
      <c r="J52" s="8" t="s">
        <v>17</v>
      </c>
      <c r="K52" s="9">
        <v>151.0</v>
      </c>
      <c r="L52" s="10" t="s">
        <v>89</v>
      </c>
      <c r="M52" s="6" t="str">
        <f t="shared" si="1"/>
        <v/>
      </c>
    </row>
    <row r="53" ht="22.5" customHeight="1">
      <c r="A53" s="5">
        <f t="shared" si="2"/>
        <v>52</v>
      </c>
      <c r="B53" s="5" t="s">
        <v>162</v>
      </c>
      <c r="C53" s="5" t="s">
        <v>14</v>
      </c>
      <c r="D53" s="6" t="str">
        <f>IFERROR(__xludf.DUMMYFUNCTION("INDEX(IMPORTDATA(""https://raw.githubusercontent.com/lukes/ISO-3166-Countries-with-Regional-Codes/master/all/all.csv""), MATCH(C53, INDEX(IMPORTDATA(""https://raw.githubusercontent.com/lukes/ISO-3166-Countries-with-Regional-Codes/master/all/all.csv""), 0,"&amp;" 1), 0), 2)"),"NP")</f>
        <v>NP</v>
      </c>
      <c r="E53" s="5">
        <v>9.70508565E9</v>
      </c>
      <c r="F53" s="5" t="s">
        <v>163</v>
      </c>
      <c r="H53" s="12">
        <v>30113.0</v>
      </c>
      <c r="I53" s="5" t="s">
        <v>156</v>
      </c>
      <c r="J53" s="8" t="s">
        <v>17</v>
      </c>
      <c r="K53" s="9">
        <v>152.0</v>
      </c>
      <c r="L53" s="10" t="s">
        <v>89</v>
      </c>
      <c r="M53" s="6" t="str">
        <f t="shared" si="1"/>
        <v/>
      </c>
    </row>
    <row r="54" ht="22.5" customHeight="1">
      <c r="A54" s="5">
        <f t="shared" si="2"/>
        <v>53</v>
      </c>
      <c r="B54" s="5" t="s">
        <v>164</v>
      </c>
      <c r="C54" s="5" t="s">
        <v>14</v>
      </c>
      <c r="D54" s="6" t="str">
        <f>IFERROR(__xludf.DUMMYFUNCTION("INDEX(IMPORTDATA(""https://raw.githubusercontent.com/lukes/ISO-3166-Countries-with-Regional-Codes/master/all/all.csv""), MATCH(C54, INDEX(IMPORTDATA(""https://raw.githubusercontent.com/lukes/ISO-3166-Countries-with-Regional-Codes/master/all/all.csv""), 0,"&amp;" 1), 0), 2)"),"NP")</f>
        <v>NP</v>
      </c>
      <c r="E54" s="5">
        <v>9.840050562E9</v>
      </c>
      <c r="F54" s="5" t="s">
        <v>165</v>
      </c>
      <c r="H54" s="7">
        <v>28417.0</v>
      </c>
      <c r="I54" s="5" t="s">
        <v>156</v>
      </c>
      <c r="J54" s="8" t="s">
        <v>17</v>
      </c>
      <c r="K54" s="9">
        <v>153.0</v>
      </c>
      <c r="L54" s="10" t="s">
        <v>89</v>
      </c>
      <c r="M54" s="6" t="str">
        <f t="shared" si="1"/>
        <v/>
      </c>
    </row>
    <row r="55" ht="22.5" customHeight="1">
      <c r="A55" s="5">
        <f t="shared" si="2"/>
        <v>54</v>
      </c>
      <c r="B55" s="5" t="s">
        <v>166</v>
      </c>
      <c r="C55" s="5" t="s">
        <v>14</v>
      </c>
      <c r="D55" s="6" t="str">
        <f>IFERROR(__xludf.DUMMYFUNCTION("INDEX(IMPORTDATA(""https://raw.githubusercontent.com/lukes/ISO-3166-Countries-with-Regional-Codes/master/all/all.csv""), MATCH(C55, INDEX(IMPORTDATA(""https://raw.githubusercontent.com/lukes/ISO-3166-Countries-with-Regional-Codes/master/all/all.csv""), 0,"&amp;" 1), 0), 2)"),"NP")</f>
        <v>NP</v>
      </c>
      <c r="E55" s="5">
        <v>9.823340217E9</v>
      </c>
      <c r="F55" s="5" t="s">
        <v>167</v>
      </c>
      <c r="H55" s="7">
        <v>33707.0</v>
      </c>
      <c r="I55" s="5" t="s">
        <v>156</v>
      </c>
      <c r="J55" s="8" t="s">
        <v>17</v>
      </c>
      <c r="K55" s="9">
        <v>154.0</v>
      </c>
      <c r="L55" s="10" t="s">
        <v>89</v>
      </c>
      <c r="M55" s="6" t="str">
        <f t="shared" si="1"/>
        <v/>
      </c>
    </row>
    <row r="56" ht="22.5" customHeight="1">
      <c r="A56" s="5">
        <f t="shared" si="2"/>
        <v>55</v>
      </c>
      <c r="B56" s="5" t="s">
        <v>168</v>
      </c>
      <c r="C56" s="5" t="s">
        <v>14</v>
      </c>
      <c r="D56" s="6" t="str">
        <f>IFERROR(__xludf.DUMMYFUNCTION("INDEX(IMPORTDATA(""https://raw.githubusercontent.com/lukes/ISO-3166-Countries-with-Regional-Codes/master/all/all.csv""), MATCH(C56, INDEX(IMPORTDATA(""https://raw.githubusercontent.com/lukes/ISO-3166-Countries-with-Regional-Codes/master/all/all.csv""), 0,"&amp;" 1), 0), 2)"),"NP")</f>
        <v>NP</v>
      </c>
      <c r="E56" s="5">
        <v>9.713259492E9</v>
      </c>
      <c r="F56" s="5" t="s">
        <v>169</v>
      </c>
      <c r="H56" s="12">
        <v>35681.0</v>
      </c>
      <c r="I56" s="5" t="s">
        <v>156</v>
      </c>
      <c r="J56" s="8" t="s">
        <v>17</v>
      </c>
      <c r="K56" s="9">
        <v>155.0</v>
      </c>
      <c r="L56" s="10" t="s">
        <v>18</v>
      </c>
      <c r="M56" s="6" t="str">
        <f t="shared" si="1"/>
        <v/>
      </c>
    </row>
    <row r="57" ht="22.5" customHeight="1">
      <c r="A57" s="5">
        <f t="shared" si="2"/>
        <v>56</v>
      </c>
      <c r="B57" s="5" t="s">
        <v>170</v>
      </c>
      <c r="C57" s="5" t="s">
        <v>14</v>
      </c>
      <c r="D57" s="6" t="str">
        <f>IFERROR(__xludf.DUMMYFUNCTION("INDEX(IMPORTDATA(""https://raw.githubusercontent.com/lukes/ISO-3166-Countries-with-Regional-Codes/master/all/all.csv""), MATCH(C57, INDEX(IMPORTDATA(""https://raw.githubusercontent.com/lukes/ISO-3166-Countries-with-Regional-Codes/master/all/all.csv""), 0,"&amp;" 1), 0), 2)"),"NP")</f>
        <v>NP</v>
      </c>
      <c r="E57" s="5" t="s">
        <v>20</v>
      </c>
      <c r="F57" s="5" t="s">
        <v>21</v>
      </c>
      <c r="H57" s="7">
        <v>25068.0</v>
      </c>
      <c r="I57" s="5" t="s">
        <v>156</v>
      </c>
      <c r="J57" s="8" t="s">
        <v>17</v>
      </c>
      <c r="K57" s="9">
        <v>156.0</v>
      </c>
      <c r="L57" s="10" t="s">
        <v>22</v>
      </c>
      <c r="M57" s="6" t="str">
        <f t="shared" si="1"/>
        <v/>
      </c>
    </row>
    <row r="58" ht="22.5" customHeight="1">
      <c r="A58" s="5">
        <f t="shared" si="2"/>
        <v>57</v>
      </c>
      <c r="B58" s="5" t="s">
        <v>171</v>
      </c>
      <c r="C58" s="5" t="s">
        <v>14</v>
      </c>
      <c r="D58" s="6" t="str">
        <f>IFERROR(__xludf.DUMMYFUNCTION("INDEX(IMPORTDATA(""https://raw.githubusercontent.com/lukes/ISO-3166-Countries-with-Regional-Codes/master/all/all.csv""), MATCH(C58, INDEX(IMPORTDATA(""https://raw.githubusercontent.com/lukes/ISO-3166-Countries-with-Regional-Codes/master/all/all.csv""), 0,"&amp;" 1), 0), 2)"),"NP")</f>
        <v>NP</v>
      </c>
      <c r="E58" s="5">
        <v>9.768759049E9</v>
      </c>
      <c r="F58" s="5" t="s">
        <v>172</v>
      </c>
      <c r="G58" s="5">
        <v>7171935.0</v>
      </c>
      <c r="H58" s="7">
        <v>38853.0</v>
      </c>
      <c r="I58" s="5" t="s">
        <v>156</v>
      </c>
      <c r="J58" s="8" t="s">
        <v>17</v>
      </c>
      <c r="K58" s="9">
        <v>157.0</v>
      </c>
      <c r="L58" s="10" t="s">
        <v>35</v>
      </c>
      <c r="M58" s="6" t="str">
        <f t="shared" si="1"/>
        <v/>
      </c>
    </row>
    <row r="59" ht="22.5" customHeight="1">
      <c r="A59" s="5">
        <f t="shared" si="2"/>
        <v>58</v>
      </c>
      <c r="B59" s="5" t="s">
        <v>173</v>
      </c>
      <c r="C59" s="5" t="s">
        <v>14</v>
      </c>
      <c r="D59" s="6" t="str">
        <f>IFERROR(__xludf.DUMMYFUNCTION("INDEX(IMPORTDATA(""https://raw.githubusercontent.com/lukes/ISO-3166-Countries-with-Regional-Codes/master/all/all.csv""), MATCH(C59, INDEX(IMPORTDATA(""https://raw.githubusercontent.com/lukes/ISO-3166-Countries-with-Regional-Codes/master/all/all.csv""), 0,"&amp;" 1), 0), 2)"),"NP")</f>
        <v>NP</v>
      </c>
      <c r="E59" s="5">
        <v>9.863655106E9</v>
      </c>
      <c r="F59" s="5" t="s">
        <v>174</v>
      </c>
      <c r="H59" s="7">
        <v>35762.0</v>
      </c>
      <c r="I59" s="5" t="s">
        <v>156</v>
      </c>
      <c r="J59" s="8" t="s">
        <v>17</v>
      </c>
      <c r="K59" s="9">
        <v>158.0</v>
      </c>
      <c r="L59" s="10" t="s">
        <v>18</v>
      </c>
      <c r="M59" s="6" t="str">
        <f t="shared" si="1"/>
        <v/>
      </c>
    </row>
    <row r="60" ht="22.5" customHeight="1">
      <c r="A60" s="5">
        <f t="shared" si="2"/>
        <v>59</v>
      </c>
      <c r="B60" s="5" t="s">
        <v>175</v>
      </c>
      <c r="C60" s="5" t="s">
        <v>14</v>
      </c>
      <c r="D60" s="6" t="str">
        <f>IFERROR(__xludf.DUMMYFUNCTION("INDEX(IMPORTDATA(""https://raw.githubusercontent.com/lukes/ISO-3166-Countries-with-Regional-Codes/master/all/all.csv""), MATCH(C60, INDEX(IMPORTDATA(""https://raw.githubusercontent.com/lukes/ISO-3166-Countries-with-Regional-Codes/master/all/all.csv""), 0,"&amp;" 1), 0), 2)"),"NP")</f>
        <v>NP</v>
      </c>
      <c r="E60" s="5">
        <v>9.847907268E9</v>
      </c>
      <c r="F60" s="5" t="s">
        <v>176</v>
      </c>
      <c r="G60" s="5">
        <v>6985680.0</v>
      </c>
      <c r="H60" s="12">
        <v>39541.0</v>
      </c>
      <c r="I60" s="5" t="s">
        <v>156</v>
      </c>
      <c r="J60" s="8" t="s">
        <v>17</v>
      </c>
      <c r="K60" s="9">
        <v>159.0</v>
      </c>
      <c r="L60" s="10" t="s">
        <v>35</v>
      </c>
      <c r="M60" s="6" t="str">
        <f t="shared" si="1"/>
        <v/>
      </c>
    </row>
    <row r="61" ht="22.5" customHeight="1">
      <c r="A61" s="5">
        <f t="shared" si="2"/>
        <v>60</v>
      </c>
      <c r="B61" s="5" t="s">
        <v>177</v>
      </c>
      <c r="C61" s="5" t="s">
        <v>14</v>
      </c>
      <c r="D61" s="6" t="str">
        <f>IFERROR(__xludf.DUMMYFUNCTION("INDEX(IMPORTDATA(""https://raw.githubusercontent.com/lukes/ISO-3166-Countries-with-Regional-Codes/master/all/all.csv""), MATCH(C61, INDEX(IMPORTDATA(""https://raw.githubusercontent.com/lukes/ISO-3166-Countries-with-Regional-Codes/master/all/all.csv""), 0,"&amp;" 1), 0), 2)"),"NP")</f>
        <v>NP</v>
      </c>
      <c r="E61" s="5">
        <v>9.861854358E9</v>
      </c>
      <c r="F61" s="5" t="s">
        <v>178</v>
      </c>
      <c r="H61" s="12">
        <v>36473.0</v>
      </c>
      <c r="I61" s="5" t="s">
        <v>156</v>
      </c>
      <c r="J61" s="8" t="s">
        <v>17</v>
      </c>
      <c r="K61" s="9">
        <v>160.0</v>
      </c>
      <c r="L61" s="10" t="s">
        <v>18</v>
      </c>
      <c r="M61" s="6" t="str">
        <f t="shared" si="1"/>
        <v/>
      </c>
    </row>
    <row r="62" ht="22.5" customHeight="1">
      <c r="A62" s="5">
        <f t="shared" si="2"/>
        <v>61</v>
      </c>
      <c r="B62" s="5" t="s">
        <v>179</v>
      </c>
      <c r="C62" s="5" t="s">
        <v>14</v>
      </c>
      <c r="D62" s="6" t="str">
        <f>IFERROR(__xludf.DUMMYFUNCTION("INDEX(IMPORTDATA(""https://raw.githubusercontent.com/lukes/ISO-3166-Countries-with-Regional-Codes/master/all/all.csv""), MATCH(C62, INDEX(IMPORTDATA(""https://raw.githubusercontent.com/lukes/ISO-3166-Countries-with-Regional-Codes/master/all/all.csv""), 0,"&amp;" 1), 0), 2)"),"NP")</f>
        <v>NP</v>
      </c>
      <c r="E62" s="5" t="s">
        <v>180</v>
      </c>
      <c r="F62" s="5" t="s">
        <v>181</v>
      </c>
      <c r="H62" s="7">
        <v>35929.0</v>
      </c>
      <c r="I62" s="5" t="s">
        <v>156</v>
      </c>
      <c r="J62" s="8" t="s">
        <v>17</v>
      </c>
      <c r="K62" s="9">
        <v>161.0</v>
      </c>
      <c r="L62" s="10" t="s">
        <v>35</v>
      </c>
      <c r="M62" s="6" t="str">
        <f t="shared" si="1"/>
        <v/>
      </c>
    </row>
    <row r="63" ht="22.5" customHeight="1">
      <c r="A63" s="5">
        <f t="shared" si="2"/>
        <v>62</v>
      </c>
      <c r="B63" s="5" t="s">
        <v>182</v>
      </c>
      <c r="C63" s="5" t="s">
        <v>14</v>
      </c>
      <c r="D63" s="6" t="str">
        <f>IFERROR(__xludf.DUMMYFUNCTION("INDEX(IMPORTDATA(""https://raw.githubusercontent.com/lukes/ISO-3166-Countries-with-Regional-Codes/master/all/all.csv""), MATCH(C63, INDEX(IMPORTDATA(""https://raw.githubusercontent.com/lukes/ISO-3166-Countries-with-Regional-Codes/master/all/all.csv""), 0,"&amp;" 1), 0), 2)"),"NP")</f>
        <v>NP</v>
      </c>
      <c r="E63" s="5">
        <v>9.849645166E9</v>
      </c>
      <c r="F63" s="5" t="s">
        <v>183</v>
      </c>
      <c r="H63" s="7">
        <v>34111.0</v>
      </c>
      <c r="I63" s="5" t="s">
        <v>156</v>
      </c>
      <c r="J63" s="8" t="s">
        <v>17</v>
      </c>
      <c r="K63" s="9">
        <v>162.0</v>
      </c>
      <c r="L63" s="10" t="s">
        <v>22</v>
      </c>
      <c r="M63" s="6" t="str">
        <f t="shared" si="1"/>
        <v/>
      </c>
    </row>
    <row r="64" ht="22.5" customHeight="1">
      <c r="A64" s="5">
        <f t="shared" si="2"/>
        <v>63</v>
      </c>
      <c r="B64" s="5" t="s">
        <v>184</v>
      </c>
      <c r="C64" s="5" t="s">
        <v>14</v>
      </c>
      <c r="D64" s="6" t="str">
        <f>IFERROR(__xludf.DUMMYFUNCTION("INDEX(IMPORTDATA(""https://raw.githubusercontent.com/lukes/ISO-3166-Countries-with-Regional-Codes/master/all/all.csv""), MATCH(C64, INDEX(IMPORTDATA(""https://raw.githubusercontent.com/lukes/ISO-3166-Countries-with-Regional-Codes/master/all/all.csv""), 0,"&amp;" 1), 0), 2)"),"NP")</f>
        <v>NP</v>
      </c>
      <c r="E64" s="5" t="s">
        <v>185</v>
      </c>
      <c r="F64" s="5" t="s">
        <v>186</v>
      </c>
      <c r="H64" s="12">
        <v>25785.0</v>
      </c>
      <c r="I64" s="5" t="s">
        <v>156</v>
      </c>
      <c r="J64" s="8" t="s">
        <v>17</v>
      </c>
      <c r="K64" s="9">
        <v>163.0</v>
      </c>
      <c r="L64" s="10" t="s">
        <v>35</v>
      </c>
      <c r="M64" s="6" t="str">
        <f t="shared" si="1"/>
        <v/>
      </c>
    </row>
    <row r="65" ht="22.5" customHeight="1">
      <c r="A65" s="5">
        <f t="shared" si="2"/>
        <v>64</v>
      </c>
      <c r="B65" s="5" t="s">
        <v>187</v>
      </c>
      <c r="C65" s="5" t="s">
        <v>14</v>
      </c>
      <c r="D65" s="6" t="str">
        <f>IFERROR(__xludf.DUMMYFUNCTION("INDEX(IMPORTDATA(""https://raw.githubusercontent.com/lukes/ISO-3166-Countries-with-Regional-Codes/master/all/all.csv""), MATCH(C65, INDEX(IMPORTDATA(""https://raw.githubusercontent.com/lukes/ISO-3166-Countries-with-Regional-Codes/master/all/all.csv""), 0,"&amp;" 1), 0), 2)"),"NP")</f>
        <v>NP</v>
      </c>
      <c r="E65" s="5" t="s">
        <v>188</v>
      </c>
      <c r="F65" s="5" t="s">
        <v>189</v>
      </c>
      <c r="H65" s="7">
        <v>30822.0</v>
      </c>
      <c r="I65" s="5" t="s">
        <v>156</v>
      </c>
      <c r="J65" s="8" t="s">
        <v>17</v>
      </c>
      <c r="K65" s="9">
        <v>164.0</v>
      </c>
      <c r="L65" s="10" t="s">
        <v>18</v>
      </c>
      <c r="M65" s="6" t="str">
        <f t="shared" si="1"/>
        <v/>
      </c>
    </row>
    <row r="66" ht="22.5" customHeight="1">
      <c r="A66" s="5">
        <f t="shared" si="2"/>
        <v>65</v>
      </c>
      <c r="B66" s="5" t="s">
        <v>190</v>
      </c>
      <c r="C66" s="5" t="s">
        <v>14</v>
      </c>
      <c r="D66" s="6" t="str">
        <f>IFERROR(__xludf.DUMMYFUNCTION("INDEX(IMPORTDATA(""https://raw.githubusercontent.com/lukes/ISO-3166-Countries-with-Regional-Codes/master/all/all.csv""), MATCH(C66, INDEX(IMPORTDATA(""https://raw.githubusercontent.com/lukes/ISO-3166-Countries-with-Regional-Codes/master/all/all.csv""), 0,"&amp;" 1), 0), 2)"),"NP")</f>
        <v>NP</v>
      </c>
      <c r="E66" s="5">
        <v>9.843614856E9</v>
      </c>
      <c r="F66" s="5" t="s">
        <v>191</v>
      </c>
      <c r="H66" s="7">
        <v>31288.0</v>
      </c>
      <c r="I66" s="5" t="s">
        <v>156</v>
      </c>
      <c r="J66" s="8" t="s">
        <v>17</v>
      </c>
      <c r="K66" s="9">
        <v>165.0</v>
      </c>
      <c r="L66" s="10" t="s">
        <v>35</v>
      </c>
      <c r="M66" s="6" t="str">
        <f t="shared" si="1"/>
        <v/>
      </c>
    </row>
    <row r="67" ht="22.5" customHeight="1">
      <c r="A67" s="5">
        <f t="shared" si="2"/>
        <v>66</v>
      </c>
      <c r="B67" s="5" t="s">
        <v>192</v>
      </c>
      <c r="C67" s="5" t="s">
        <v>14</v>
      </c>
      <c r="D67" s="6" t="str">
        <f>IFERROR(__xludf.DUMMYFUNCTION("INDEX(IMPORTDATA(""https://raw.githubusercontent.com/lukes/ISO-3166-Countries-with-Regional-Codes/master/all/all.csv""), MATCH(C67, INDEX(IMPORTDATA(""https://raw.githubusercontent.com/lukes/ISO-3166-Countries-with-Regional-Codes/master/all/all.csv""), 0,"&amp;" 1), 0), 2)"),"NP")</f>
        <v>NP</v>
      </c>
      <c r="E67" s="5">
        <v>9.841837188E9</v>
      </c>
      <c r="F67" s="5" t="s">
        <v>193</v>
      </c>
      <c r="H67" s="7">
        <v>33238.0</v>
      </c>
      <c r="I67" s="5" t="s">
        <v>156</v>
      </c>
      <c r="J67" s="8" t="s">
        <v>17</v>
      </c>
      <c r="K67" s="9">
        <v>166.0</v>
      </c>
      <c r="L67" s="10" t="s">
        <v>18</v>
      </c>
      <c r="M67" s="6" t="str">
        <f t="shared" si="1"/>
        <v/>
      </c>
    </row>
    <row r="68" ht="22.5" customHeight="1">
      <c r="A68" s="5">
        <f t="shared" si="2"/>
        <v>67</v>
      </c>
      <c r="B68" s="5" t="s">
        <v>194</v>
      </c>
      <c r="C68" s="5" t="s">
        <v>14</v>
      </c>
      <c r="D68" s="6" t="str">
        <f>IFERROR(__xludf.DUMMYFUNCTION("INDEX(IMPORTDATA(""https://raw.githubusercontent.com/lukes/ISO-3166-Countries-with-Regional-Codes/master/all/all.csv""), MATCH(C68, INDEX(IMPORTDATA(""https://raw.githubusercontent.com/lukes/ISO-3166-Countries-with-Regional-Codes/master/all/all.csv""), 0,"&amp;" 1), 0), 2)"),"NP")</f>
        <v>NP</v>
      </c>
      <c r="E68" s="5">
        <v>9.861538501E9</v>
      </c>
      <c r="F68" s="5" t="s">
        <v>195</v>
      </c>
      <c r="H68" s="12">
        <v>36070.0</v>
      </c>
      <c r="I68" s="5" t="s">
        <v>156</v>
      </c>
      <c r="J68" s="8" t="s">
        <v>17</v>
      </c>
      <c r="K68" s="9">
        <v>167.0</v>
      </c>
      <c r="L68" s="10" t="s">
        <v>35</v>
      </c>
      <c r="M68" s="6" t="str">
        <f t="shared" si="1"/>
        <v/>
      </c>
    </row>
    <row r="69" ht="22.5" customHeight="1">
      <c r="A69" s="5">
        <f t="shared" si="2"/>
        <v>68</v>
      </c>
      <c r="B69" s="5" t="s">
        <v>196</v>
      </c>
      <c r="C69" s="5" t="s">
        <v>14</v>
      </c>
      <c r="D69" s="6" t="str">
        <f>IFERROR(__xludf.DUMMYFUNCTION("INDEX(IMPORTDATA(""https://raw.githubusercontent.com/lukes/ISO-3166-Countries-with-Regional-Codes/master/all/all.csv""), MATCH(C69, INDEX(IMPORTDATA(""https://raw.githubusercontent.com/lukes/ISO-3166-Countries-with-Regional-Codes/master/all/all.csv""), 0,"&amp;" 1), 0), 2)"),"NP")</f>
        <v>NP</v>
      </c>
      <c r="E69" s="5">
        <v>9.841413824E9</v>
      </c>
      <c r="F69" s="5" t="s">
        <v>197</v>
      </c>
      <c r="H69" s="12">
        <v>34706.0</v>
      </c>
      <c r="I69" s="5" t="s">
        <v>156</v>
      </c>
      <c r="J69" s="8" t="s">
        <v>17</v>
      </c>
      <c r="K69" s="9">
        <v>168.0</v>
      </c>
      <c r="L69" s="10" t="s">
        <v>18</v>
      </c>
      <c r="M69" s="6" t="str">
        <f t="shared" si="1"/>
        <v/>
      </c>
    </row>
    <row r="70" ht="22.5" customHeight="1">
      <c r="A70" s="5">
        <f t="shared" si="2"/>
        <v>69</v>
      </c>
      <c r="B70" s="5" t="s">
        <v>198</v>
      </c>
      <c r="C70" s="5" t="s">
        <v>14</v>
      </c>
      <c r="D70" s="6" t="str">
        <f>IFERROR(__xludf.DUMMYFUNCTION("INDEX(IMPORTDATA(""https://raw.githubusercontent.com/lukes/ISO-3166-Countries-with-Regional-Codes/master/all/all.csv""), MATCH(C70, INDEX(IMPORTDATA(""https://raw.githubusercontent.com/lukes/ISO-3166-Countries-with-Regional-Codes/master/all/all.csv""), 0,"&amp;" 1), 0), 2)"),"NP")</f>
        <v>NP</v>
      </c>
      <c r="E70" s="5">
        <v>9.84024382E9</v>
      </c>
      <c r="F70" s="5" t="s">
        <v>199</v>
      </c>
      <c r="H70" s="7">
        <v>34617.0</v>
      </c>
      <c r="I70" s="5" t="s">
        <v>156</v>
      </c>
      <c r="J70" s="8" t="s">
        <v>17</v>
      </c>
      <c r="K70" s="9">
        <v>169.0</v>
      </c>
      <c r="L70" s="10" t="s">
        <v>35</v>
      </c>
      <c r="M70" s="6" t="str">
        <f t="shared" si="1"/>
        <v/>
      </c>
    </row>
    <row r="71" ht="22.5" customHeight="1">
      <c r="A71" s="5">
        <f t="shared" si="2"/>
        <v>70</v>
      </c>
      <c r="B71" s="5" t="s">
        <v>200</v>
      </c>
      <c r="C71" s="5" t="s">
        <v>14</v>
      </c>
      <c r="D71" s="6" t="str">
        <f>IFERROR(__xludf.DUMMYFUNCTION("INDEX(IMPORTDATA(""https://raw.githubusercontent.com/lukes/ISO-3166-Countries-with-Regional-Codes/master/all/all.csv""), MATCH(C71, INDEX(IMPORTDATA(""https://raw.githubusercontent.com/lukes/ISO-3166-Countries-with-Regional-Codes/master/all/all.csv""), 0,"&amp;" 1), 0), 2)"),"NP")</f>
        <v>NP</v>
      </c>
      <c r="E71" s="5" t="s">
        <v>201</v>
      </c>
      <c r="F71" s="5" t="s">
        <v>202</v>
      </c>
      <c r="H71" s="7">
        <v>31806.0</v>
      </c>
      <c r="I71" s="5" t="s">
        <v>156</v>
      </c>
      <c r="J71" s="8" t="s">
        <v>17</v>
      </c>
      <c r="K71" s="9">
        <v>170.0</v>
      </c>
      <c r="L71" s="10" t="s">
        <v>35</v>
      </c>
      <c r="M71" s="6" t="str">
        <f t="shared" si="1"/>
        <v/>
      </c>
    </row>
    <row r="72" ht="22.5" customHeight="1">
      <c r="A72" s="5">
        <f t="shared" si="2"/>
        <v>71</v>
      </c>
      <c r="B72" s="5" t="s">
        <v>203</v>
      </c>
      <c r="C72" s="5" t="s">
        <v>14</v>
      </c>
      <c r="D72" s="6" t="str">
        <f>IFERROR(__xludf.DUMMYFUNCTION("INDEX(IMPORTDATA(""https://raw.githubusercontent.com/lukes/ISO-3166-Countries-with-Regional-Codes/master/all/all.csv""), MATCH(C72, INDEX(IMPORTDATA(""https://raw.githubusercontent.com/lukes/ISO-3166-Countries-with-Regional-Codes/master/all/all.csv""), 0,"&amp;" 1), 0), 2)"),"NP")</f>
        <v>NP</v>
      </c>
      <c r="E72" s="5" t="s">
        <v>204</v>
      </c>
      <c r="F72" s="5" t="s">
        <v>205</v>
      </c>
      <c r="H72" s="12">
        <v>39391.0</v>
      </c>
      <c r="I72" s="5" t="s">
        <v>156</v>
      </c>
      <c r="J72" s="8" t="s">
        <v>17</v>
      </c>
      <c r="K72" s="9">
        <v>171.0</v>
      </c>
      <c r="L72" s="10" t="s">
        <v>89</v>
      </c>
      <c r="M72" s="6" t="str">
        <f t="shared" si="1"/>
        <v/>
      </c>
    </row>
    <row r="73" ht="22.5" customHeight="1">
      <c r="A73" s="5">
        <f t="shared" si="2"/>
        <v>72</v>
      </c>
      <c r="B73" s="5" t="s">
        <v>206</v>
      </c>
      <c r="C73" s="5" t="s">
        <v>14</v>
      </c>
      <c r="D73" s="6" t="str">
        <f>IFERROR(__xludf.DUMMYFUNCTION("INDEX(IMPORTDATA(""https://raw.githubusercontent.com/lukes/ISO-3166-Countries-with-Regional-Codes/master/all/all.csv""), MATCH(C73, INDEX(IMPORTDATA(""https://raw.githubusercontent.com/lukes/ISO-3166-Countries-with-Regional-Codes/master/all/all.csv""), 0,"&amp;" 1), 0), 2)"),"NP")</f>
        <v>NP</v>
      </c>
      <c r="E73" s="5">
        <v>9.708580053E9</v>
      </c>
      <c r="F73" s="5" t="s">
        <v>207</v>
      </c>
      <c r="H73" s="7">
        <v>35962.0</v>
      </c>
      <c r="I73" s="5" t="s">
        <v>156</v>
      </c>
      <c r="J73" s="8" t="s">
        <v>17</v>
      </c>
      <c r="K73" s="9">
        <v>172.0</v>
      </c>
      <c r="L73" s="10" t="s">
        <v>89</v>
      </c>
      <c r="M73" s="6" t="str">
        <f t="shared" si="1"/>
        <v/>
      </c>
    </row>
    <row r="74" ht="22.5" customHeight="1">
      <c r="A74" s="5">
        <f t="shared" si="2"/>
        <v>73</v>
      </c>
      <c r="B74" s="5" t="s">
        <v>208</v>
      </c>
      <c r="C74" s="5" t="s">
        <v>14</v>
      </c>
      <c r="D74" s="6" t="str">
        <f>IFERROR(__xludf.DUMMYFUNCTION("INDEX(IMPORTDATA(""https://raw.githubusercontent.com/lukes/ISO-3166-Countries-with-Regional-Codes/master/all/all.csv""), MATCH(C74, INDEX(IMPORTDATA(""https://raw.githubusercontent.com/lukes/ISO-3166-Countries-with-Regional-Codes/master/all/all.csv""), 0,"&amp;" 1), 0), 2)"),"NP")</f>
        <v>NP</v>
      </c>
      <c r="E74" s="5" t="s">
        <v>209</v>
      </c>
      <c r="F74" s="5" t="s">
        <v>210</v>
      </c>
      <c r="H74" s="12">
        <v>35312.0</v>
      </c>
      <c r="I74" s="5" t="s">
        <v>156</v>
      </c>
      <c r="J74" s="8" t="s">
        <v>17</v>
      </c>
      <c r="K74" s="9">
        <v>173.0</v>
      </c>
      <c r="L74" s="10" t="s">
        <v>89</v>
      </c>
      <c r="M74" s="6" t="str">
        <f t="shared" si="1"/>
        <v/>
      </c>
    </row>
    <row r="75" ht="22.5" customHeight="1">
      <c r="A75" s="5">
        <f t="shared" si="2"/>
        <v>74</v>
      </c>
      <c r="B75" s="5" t="s">
        <v>211</v>
      </c>
      <c r="C75" s="5" t="s">
        <v>14</v>
      </c>
      <c r="D75" s="6" t="str">
        <f>IFERROR(__xludf.DUMMYFUNCTION("INDEX(IMPORTDATA(""https://raw.githubusercontent.com/lukes/ISO-3166-Countries-with-Regional-Codes/master/all/all.csv""), MATCH(C75, INDEX(IMPORTDATA(""https://raw.githubusercontent.com/lukes/ISO-3166-Countries-with-Regional-Codes/master/all/all.csv""), 0,"&amp;" 1), 0), 2)"),"NP")</f>
        <v>NP</v>
      </c>
      <c r="E75" s="5">
        <v>9.843803484E9</v>
      </c>
      <c r="F75" s="5" t="s">
        <v>212</v>
      </c>
      <c r="H75" s="7">
        <v>36487.0</v>
      </c>
      <c r="I75" s="5" t="s">
        <v>156</v>
      </c>
      <c r="J75" s="8" t="s">
        <v>17</v>
      </c>
      <c r="K75" s="9">
        <v>174.0</v>
      </c>
      <c r="L75" s="10" t="s">
        <v>18</v>
      </c>
      <c r="M75" s="6" t="str">
        <f t="shared" si="1"/>
        <v/>
      </c>
    </row>
    <row r="76" ht="22.5" customHeight="1">
      <c r="A76" s="5">
        <f t="shared" si="2"/>
        <v>75</v>
      </c>
      <c r="B76" s="5" t="s">
        <v>213</v>
      </c>
      <c r="C76" s="5" t="s">
        <v>14</v>
      </c>
      <c r="D76" s="6" t="str">
        <f>IFERROR(__xludf.DUMMYFUNCTION("INDEX(IMPORTDATA(""https://raw.githubusercontent.com/lukes/ISO-3166-Countries-with-Regional-Codes/master/all/all.csv""), MATCH(C76, INDEX(IMPORTDATA(""https://raw.githubusercontent.com/lukes/ISO-3166-Countries-with-Regional-Codes/master/all/all.csv""), 0,"&amp;" 1), 0), 2)"),"NP")</f>
        <v>NP</v>
      </c>
      <c r="E76" s="5" t="s">
        <v>214</v>
      </c>
      <c r="F76" s="5" t="s">
        <v>215</v>
      </c>
      <c r="H76" s="7">
        <v>33620.0</v>
      </c>
      <c r="I76" s="5" t="s">
        <v>156</v>
      </c>
      <c r="J76" s="8" t="s">
        <v>17</v>
      </c>
      <c r="K76" s="9">
        <v>175.0</v>
      </c>
      <c r="L76" s="10" t="s">
        <v>89</v>
      </c>
      <c r="M76" s="6" t="str">
        <f t="shared" si="1"/>
        <v/>
      </c>
    </row>
    <row r="77" ht="22.5" customHeight="1">
      <c r="A77" s="5">
        <f t="shared" si="2"/>
        <v>76</v>
      </c>
      <c r="B77" s="5" t="s">
        <v>216</v>
      </c>
      <c r="C77" s="5" t="s">
        <v>14</v>
      </c>
      <c r="D77" s="6" t="str">
        <f>IFERROR(__xludf.DUMMYFUNCTION("INDEX(IMPORTDATA(""https://raw.githubusercontent.com/lukes/ISO-3166-Countries-with-Regional-Codes/master/all/all.csv""), MATCH(C77, INDEX(IMPORTDATA(""https://raw.githubusercontent.com/lukes/ISO-3166-Countries-with-Regional-Codes/master/all/all.csv""), 0,"&amp;" 1), 0), 2)"),"NP")</f>
        <v>NP</v>
      </c>
      <c r="E77" s="5" t="s">
        <v>217</v>
      </c>
      <c r="F77" s="5" t="s">
        <v>218</v>
      </c>
      <c r="H77" s="7">
        <v>33659.0</v>
      </c>
      <c r="I77" s="5" t="s">
        <v>156</v>
      </c>
      <c r="J77" s="8" t="s">
        <v>17</v>
      </c>
      <c r="K77" s="9">
        <v>176.0</v>
      </c>
      <c r="L77" s="10" t="s">
        <v>22</v>
      </c>
      <c r="M77" s="6" t="str">
        <f t="shared" si="1"/>
        <v/>
      </c>
    </row>
    <row r="78" ht="22.5" customHeight="1">
      <c r="A78" s="5">
        <f t="shared" si="2"/>
        <v>77</v>
      </c>
      <c r="B78" s="5" t="s">
        <v>219</v>
      </c>
      <c r="C78" s="5" t="s">
        <v>14</v>
      </c>
      <c r="D78" s="6" t="str">
        <f>IFERROR(__xludf.DUMMYFUNCTION("INDEX(IMPORTDATA(""https://raw.githubusercontent.com/lukes/ISO-3166-Countries-with-Regional-Codes/master/all/all.csv""), MATCH(C78, INDEX(IMPORTDATA(""https://raw.githubusercontent.com/lukes/ISO-3166-Countries-with-Regional-Codes/master/all/all.csv""), 0,"&amp;" 1), 0), 2)"),"NP")</f>
        <v>NP</v>
      </c>
      <c r="E78" s="5">
        <v>9.866299405E9</v>
      </c>
      <c r="F78" s="5" t="s">
        <v>220</v>
      </c>
      <c r="H78" s="7">
        <v>38850.0</v>
      </c>
      <c r="I78" s="5" t="s">
        <v>156</v>
      </c>
      <c r="J78" s="8" t="s">
        <v>17</v>
      </c>
      <c r="K78" s="9">
        <v>177.0</v>
      </c>
      <c r="L78" s="10" t="s">
        <v>22</v>
      </c>
      <c r="M78" s="6" t="str">
        <f t="shared" si="1"/>
        <v/>
      </c>
    </row>
    <row r="79" ht="22.5" customHeight="1">
      <c r="A79" s="5">
        <f t="shared" si="2"/>
        <v>78</v>
      </c>
      <c r="B79" s="5" t="s">
        <v>221</v>
      </c>
      <c r="C79" s="5" t="s">
        <v>14</v>
      </c>
      <c r="D79" s="6" t="str">
        <f>IFERROR(__xludf.DUMMYFUNCTION("INDEX(IMPORTDATA(""https://raw.githubusercontent.com/lukes/ISO-3166-Countries-with-Regional-Codes/master/all/all.csv""), MATCH(C79, INDEX(IMPORTDATA(""https://raw.githubusercontent.com/lukes/ISO-3166-Countries-with-Regional-Codes/master/all/all.csv""), 0,"&amp;" 1), 0), 2)"),"NP")</f>
        <v>NP</v>
      </c>
      <c r="E79" s="5" t="s">
        <v>222</v>
      </c>
      <c r="F79" s="5" t="s">
        <v>223</v>
      </c>
      <c r="H79" s="12">
        <v>32175.0</v>
      </c>
      <c r="I79" s="5" t="s">
        <v>156</v>
      </c>
      <c r="J79" s="8" t="s">
        <v>17</v>
      </c>
      <c r="K79" s="9">
        <v>178.0</v>
      </c>
      <c r="L79" s="10" t="s">
        <v>89</v>
      </c>
      <c r="M79" s="6" t="str">
        <f t="shared" si="1"/>
        <v/>
      </c>
    </row>
    <row r="80" ht="22.5" customHeight="1">
      <c r="A80" s="5">
        <f t="shared" si="2"/>
        <v>79</v>
      </c>
      <c r="B80" s="5" t="s">
        <v>224</v>
      </c>
      <c r="C80" s="5" t="s">
        <v>14</v>
      </c>
      <c r="D80" s="6" t="str">
        <f>IFERROR(__xludf.DUMMYFUNCTION("INDEX(IMPORTDATA(""https://raw.githubusercontent.com/lukes/ISO-3166-Countries-with-Regional-Codes/master/all/all.csv""), MATCH(C80, INDEX(IMPORTDATA(""https://raw.githubusercontent.com/lukes/ISO-3166-Countries-with-Regional-Codes/master/all/all.csv""), 0,"&amp;" 1), 0), 2)"),"NP")</f>
        <v>NP</v>
      </c>
      <c r="E80" s="5">
        <v>9.703755265E9</v>
      </c>
      <c r="F80" s="5" t="s">
        <v>225</v>
      </c>
      <c r="H80" s="7">
        <v>29050.0</v>
      </c>
      <c r="I80" s="5" t="s">
        <v>156</v>
      </c>
      <c r="J80" s="8" t="s">
        <v>17</v>
      </c>
      <c r="K80" s="9">
        <v>179.0</v>
      </c>
      <c r="L80" s="10" t="s">
        <v>35</v>
      </c>
      <c r="M80" s="6" t="str">
        <f t="shared" si="1"/>
        <v/>
      </c>
    </row>
    <row r="81" ht="22.5" customHeight="1">
      <c r="A81" s="5">
        <f t="shared" si="2"/>
        <v>80</v>
      </c>
      <c r="B81" s="5" t="s">
        <v>226</v>
      </c>
      <c r="C81" s="5" t="s">
        <v>14</v>
      </c>
      <c r="D81" s="6" t="str">
        <f>IFERROR(__xludf.DUMMYFUNCTION("INDEX(IMPORTDATA(""https://raw.githubusercontent.com/lukes/ISO-3166-Countries-with-Regional-Codes/master/all/all.csv""), MATCH(C81, INDEX(IMPORTDATA(""https://raw.githubusercontent.com/lukes/ISO-3166-Countries-with-Regional-Codes/master/all/all.csv""), 0,"&amp;" 1), 0), 2)"),"NP")</f>
        <v>NP</v>
      </c>
      <c r="E81" s="5">
        <v>9.761886543E9</v>
      </c>
      <c r="F81" s="5" t="s">
        <v>227</v>
      </c>
      <c r="H81" s="7">
        <v>36576.0</v>
      </c>
      <c r="I81" s="5" t="s">
        <v>156</v>
      </c>
      <c r="J81" s="8" t="s">
        <v>17</v>
      </c>
      <c r="K81" s="9">
        <v>180.0</v>
      </c>
      <c r="L81" s="10" t="s">
        <v>18</v>
      </c>
      <c r="M81" s="6" t="str">
        <f t="shared" si="1"/>
        <v/>
      </c>
    </row>
    <row r="82" ht="22.5" customHeight="1">
      <c r="A82" s="5">
        <f t="shared" si="2"/>
        <v>81</v>
      </c>
      <c r="B82" s="5" t="s">
        <v>228</v>
      </c>
      <c r="C82" s="5" t="s">
        <v>14</v>
      </c>
      <c r="D82" s="6" t="str">
        <f>IFERROR(__xludf.DUMMYFUNCTION("INDEX(IMPORTDATA(""https://raw.githubusercontent.com/lukes/ISO-3166-Countries-with-Regional-Codes/master/all/all.csv""), MATCH(C82, INDEX(IMPORTDATA(""https://raw.githubusercontent.com/lukes/ISO-3166-Countries-with-Regional-Codes/master/all/all.csv""), 0,"&amp;" 1), 0), 2)"),"NP")</f>
        <v>NP</v>
      </c>
      <c r="E82" s="5" t="s">
        <v>229</v>
      </c>
      <c r="F82" s="5" t="s">
        <v>230</v>
      </c>
      <c r="H82" s="12">
        <v>27037.0</v>
      </c>
      <c r="I82" s="5" t="s">
        <v>156</v>
      </c>
      <c r="J82" s="8" t="s">
        <v>17</v>
      </c>
      <c r="K82" s="9">
        <v>181.0</v>
      </c>
      <c r="L82" s="10" t="s">
        <v>35</v>
      </c>
      <c r="M82" s="6" t="str">
        <f t="shared" si="1"/>
        <v/>
      </c>
    </row>
    <row r="83" ht="22.5" customHeight="1">
      <c r="A83" s="5">
        <f t="shared" si="2"/>
        <v>82</v>
      </c>
      <c r="B83" s="5" t="s">
        <v>231</v>
      </c>
      <c r="C83" s="5" t="s">
        <v>14</v>
      </c>
      <c r="D83" s="6" t="str">
        <f>IFERROR(__xludf.DUMMYFUNCTION("INDEX(IMPORTDATA(""https://raw.githubusercontent.com/lukes/ISO-3166-Countries-with-Regional-Codes/master/all/all.csv""), MATCH(C83, INDEX(IMPORTDATA(""https://raw.githubusercontent.com/lukes/ISO-3166-Countries-with-Regional-Codes/master/all/all.csv""), 0,"&amp;" 1), 0), 2)"),"NP")</f>
        <v>NP</v>
      </c>
      <c r="E83" s="5">
        <v>9.822100035E9</v>
      </c>
      <c r="F83" s="5" t="s">
        <v>232</v>
      </c>
      <c r="H83" s="12">
        <v>38572.0</v>
      </c>
      <c r="I83" s="5" t="s">
        <v>156</v>
      </c>
      <c r="J83" s="8" t="s">
        <v>17</v>
      </c>
      <c r="K83" s="9">
        <v>182.0</v>
      </c>
      <c r="L83" s="10" t="s">
        <v>35</v>
      </c>
      <c r="M83" s="6" t="str">
        <f t="shared" si="1"/>
        <v/>
      </c>
    </row>
    <row r="84" ht="22.5" customHeight="1">
      <c r="A84" s="5">
        <f t="shared" si="2"/>
        <v>83</v>
      </c>
      <c r="B84" s="5" t="s">
        <v>233</v>
      </c>
      <c r="C84" s="5" t="s">
        <v>14</v>
      </c>
      <c r="D84" s="6" t="str">
        <f>IFERROR(__xludf.DUMMYFUNCTION("INDEX(IMPORTDATA(""https://raw.githubusercontent.com/lukes/ISO-3166-Countries-with-Regional-Codes/master/all/all.csv""), MATCH(C84, INDEX(IMPORTDATA(""https://raw.githubusercontent.com/lukes/ISO-3166-Countries-with-Regional-Codes/master/all/all.csv""), 0,"&amp;" 1), 0), 2)"),"NP")</f>
        <v>NP</v>
      </c>
      <c r="E84" s="5">
        <v>9.843516421E9</v>
      </c>
      <c r="F84" s="5" t="s">
        <v>234</v>
      </c>
      <c r="H84" s="7">
        <v>35634.0</v>
      </c>
      <c r="I84" s="5" t="s">
        <v>156</v>
      </c>
      <c r="J84" s="8" t="s">
        <v>17</v>
      </c>
      <c r="K84" s="9">
        <v>183.0</v>
      </c>
      <c r="L84" s="10" t="s">
        <v>89</v>
      </c>
      <c r="M84" s="6" t="str">
        <f t="shared" si="1"/>
        <v/>
      </c>
    </row>
    <row r="85" ht="22.5" customHeight="1">
      <c r="A85" s="5">
        <f t="shared" si="2"/>
        <v>84</v>
      </c>
      <c r="B85" s="5" t="s">
        <v>235</v>
      </c>
      <c r="C85" s="5" t="s">
        <v>14</v>
      </c>
      <c r="D85" s="6" t="str">
        <f>IFERROR(__xludf.DUMMYFUNCTION("INDEX(IMPORTDATA(""https://raw.githubusercontent.com/lukes/ISO-3166-Countries-with-Regional-Codes/master/all/all.csv""), MATCH(C85, INDEX(IMPORTDATA(""https://raw.githubusercontent.com/lukes/ISO-3166-Countries-with-Regional-Codes/master/all/all.csv""), 0,"&amp;" 1), 0), 2)"),"NP")</f>
        <v>NP</v>
      </c>
      <c r="E85" s="5">
        <v>9.761116107E9</v>
      </c>
      <c r="F85" s="5" t="s">
        <v>236</v>
      </c>
      <c r="H85" s="12">
        <v>39634.0</v>
      </c>
      <c r="I85" s="5" t="s">
        <v>156</v>
      </c>
      <c r="J85" s="8" t="s">
        <v>17</v>
      </c>
      <c r="K85" s="9">
        <v>184.0</v>
      </c>
      <c r="L85" s="10" t="s">
        <v>18</v>
      </c>
      <c r="M85" s="6" t="str">
        <f t="shared" si="1"/>
        <v/>
      </c>
    </row>
    <row r="86" ht="22.5" customHeight="1">
      <c r="A86" s="5">
        <f t="shared" si="2"/>
        <v>85</v>
      </c>
      <c r="B86" s="5" t="s">
        <v>237</v>
      </c>
      <c r="C86" s="5" t="s">
        <v>14</v>
      </c>
      <c r="D86" s="6" t="str">
        <f>IFERROR(__xludf.DUMMYFUNCTION("INDEX(IMPORTDATA(""https://raw.githubusercontent.com/lukes/ISO-3166-Countries-with-Regional-Codes/master/all/all.csv""), MATCH(C86, INDEX(IMPORTDATA(""https://raw.githubusercontent.com/lukes/ISO-3166-Countries-with-Regional-Codes/master/all/all.csv""), 0,"&amp;" 1), 0), 2)"),"NP")</f>
        <v>NP</v>
      </c>
      <c r="E86" s="5">
        <v>9.860016834E9</v>
      </c>
      <c r="F86" s="5" t="s">
        <v>238</v>
      </c>
      <c r="H86" s="12">
        <v>33732.0</v>
      </c>
      <c r="I86" s="5" t="s">
        <v>156</v>
      </c>
      <c r="J86" s="8" t="s">
        <v>17</v>
      </c>
      <c r="K86" s="9">
        <v>185.0</v>
      </c>
      <c r="L86" s="10" t="s">
        <v>35</v>
      </c>
      <c r="M86" s="6" t="str">
        <f t="shared" si="1"/>
        <v/>
      </c>
    </row>
    <row r="87" ht="22.5" customHeight="1">
      <c r="A87" s="5">
        <f t="shared" si="2"/>
        <v>86</v>
      </c>
      <c r="B87" s="5" t="s">
        <v>239</v>
      </c>
      <c r="C87" s="5" t="s">
        <v>14</v>
      </c>
      <c r="D87" s="6" t="str">
        <f>IFERROR(__xludf.DUMMYFUNCTION("INDEX(IMPORTDATA(""https://raw.githubusercontent.com/lukes/ISO-3166-Countries-with-Regional-Codes/master/all/all.csv""), MATCH(C87, INDEX(IMPORTDATA(""https://raw.githubusercontent.com/lukes/ISO-3166-Countries-with-Regional-Codes/master/all/all.csv""), 0,"&amp;" 1), 0), 2)"),"NP")</f>
        <v>NP</v>
      </c>
      <c r="E87" s="5">
        <v>9.841294588E9</v>
      </c>
      <c r="F87" s="5" t="s">
        <v>240</v>
      </c>
      <c r="H87" s="7">
        <v>29003.0</v>
      </c>
      <c r="I87" s="5" t="s">
        <v>156</v>
      </c>
      <c r="J87" s="8" t="s">
        <v>17</v>
      </c>
      <c r="K87" s="9">
        <v>186.0</v>
      </c>
      <c r="L87" s="10" t="s">
        <v>89</v>
      </c>
      <c r="M87" s="6" t="str">
        <f t="shared" si="1"/>
        <v/>
      </c>
    </row>
    <row r="88" ht="22.5" customHeight="1">
      <c r="A88" s="5">
        <f t="shared" si="2"/>
        <v>87</v>
      </c>
      <c r="B88" s="5" t="s">
        <v>241</v>
      </c>
      <c r="C88" s="5" t="s">
        <v>14</v>
      </c>
      <c r="D88" s="6" t="str">
        <f>IFERROR(__xludf.DUMMYFUNCTION("INDEX(IMPORTDATA(""https://raw.githubusercontent.com/lukes/ISO-3166-Countries-with-Regional-Codes/master/all/all.csv""), MATCH(C88, INDEX(IMPORTDATA(""https://raw.githubusercontent.com/lukes/ISO-3166-Countries-with-Regional-Codes/master/all/all.csv""), 0,"&amp;" 1), 0), 2)"),"NP")</f>
        <v>NP</v>
      </c>
      <c r="E88" s="5">
        <v>9.843268112E9</v>
      </c>
      <c r="F88" s="5" t="s">
        <v>242</v>
      </c>
      <c r="H88" s="12">
        <v>31841.0</v>
      </c>
      <c r="I88" s="5" t="s">
        <v>156</v>
      </c>
      <c r="J88" s="8" t="s">
        <v>17</v>
      </c>
      <c r="K88" s="9">
        <v>187.0</v>
      </c>
      <c r="L88" s="10" t="s">
        <v>89</v>
      </c>
      <c r="M88" s="6" t="str">
        <f t="shared" si="1"/>
        <v/>
      </c>
    </row>
    <row r="89" ht="22.5" customHeight="1">
      <c r="A89" s="5">
        <f t="shared" si="2"/>
        <v>88</v>
      </c>
      <c r="B89" s="5" t="s">
        <v>243</v>
      </c>
      <c r="C89" s="5" t="s">
        <v>14</v>
      </c>
      <c r="D89" s="6" t="str">
        <f>IFERROR(__xludf.DUMMYFUNCTION("INDEX(IMPORTDATA(""https://raw.githubusercontent.com/lukes/ISO-3166-Countries-with-Regional-Codes/master/all/all.csv""), MATCH(C89, INDEX(IMPORTDATA(""https://raw.githubusercontent.com/lukes/ISO-3166-Countries-with-Regional-Codes/master/all/all.csv""), 0,"&amp;" 1), 0), 2)"),"NP")</f>
        <v>NP</v>
      </c>
      <c r="E89" s="5">
        <v>9.864111717E9</v>
      </c>
      <c r="F89" s="5" t="s">
        <v>244</v>
      </c>
      <c r="H89" s="12">
        <v>34156.0</v>
      </c>
      <c r="I89" s="5" t="s">
        <v>156</v>
      </c>
      <c r="J89" s="8" t="s">
        <v>17</v>
      </c>
      <c r="K89" s="9">
        <v>188.0</v>
      </c>
      <c r="L89" s="10" t="s">
        <v>18</v>
      </c>
      <c r="M89" s="6" t="str">
        <f t="shared" si="1"/>
        <v/>
      </c>
    </row>
    <row r="90" ht="22.5" customHeight="1">
      <c r="A90" s="5">
        <f t="shared" si="2"/>
        <v>89</v>
      </c>
      <c r="B90" s="5" t="s">
        <v>245</v>
      </c>
      <c r="C90" s="5" t="s">
        <v>14</v>
      </c>
      <c r="D90" s="6" t="str">
        <f>IFERROR(__xludf.DUMMYFUNCTION("INDEX(IMPORTDATA(""https://raw.githubusercontent.com/lukes/ISO-3166-Countries-with-Regional-Codes/master/all/all.csv""), MATCH(C90, INDEX(IMPORTDATA(""https://raw.githubusercontent.com/lukes/ISO-3166-Countries-with-Regional-Codes/master/all/all.csv""), 0,"&amp;" 1), 0), 2)"),"NP")</f>
        <v>NP</v>
      </c>
      <c r="E90" s="5" t="s">
        <v>246</v>
      </c>
      <c r="F90" s="5" t="s">
        <v>247</v>
      </c>
      <c r="H90" s="7">
        <v>23059.0</v>
      </c>
      <c r="I90" s="5" t="s">
        <v>156</v>
      </c>
      <c r="J90" s="8" t="s">
        <v>17</v>
      </c>
      <c r="K90" s="9">
        <v>189.0</v>
      </c>
      <c r="L90" s="10" t="s">
        <v>35</v>
      </c>
      <c r="M90" s="6" t="str">
        <f t="shared" si="1"/>
        <v/>
      </c>
    </row>
    <row r="91" ht="22.5" customHeight="1">
      <c r="A91" s="5">
        <f t="shared" si="2"/>
        <v>90</v>
      </c>
      <c r="B91" s="5" t="s">
        <v>248</v>
      </c>
      <c r="C91" s="5" t="s">
        <v>14</v>
      </c>
      <c r="D91" s="6" t="str">
        <f>IFERROR(__xludf.DUMMYFUNCTION("INDEX(IMPORTDATA(""https://raw.githubusercontent.com/lukes/ISO-3166-Countries-with-Regional-Codes/master/all/all.csv""), MATCH(C91, INDEX(IMPORTDATA(""https://raw.githubusercontent.com/lukes/ISO-3166-Countries-with-Regional-Codes/master/all/all.csv""), 0,"&amp;" 1), 0), 2)"),"NP")</f>
        <v>NP</v>
      </c>
      <c r="E91" s="5" t="s">
        <v>249</v>
      </c>
      <c r="F91" s="5" t="s">
        <v>250</v>
      </c>
      <c r="H91" s="7">
        <v>36888.0</v>
      </c>
      <c r="I91" s="5" t="s">
        <v>156</v>
      </c>
      <c r="J91" s="8" t="s">
        <v>17</v>
      </c>
      <c r="K91" s="9">
        <v>190.0</v>
      </c>
      <c r="L91" s="10" t="s">
        <v>89</v>
      </c>
      <c r="M91" s="6" t="str">
        <f t="shared" si="1"/>
        <v/>
      </c>
    </row>
    <row r="92" ht="22.5" customHeight="1">
      <c r="A92" s="5">
        <f t="shared" si="2"/>
        <v>91</v>
      </c>
      <c r="B92" s="5" t="s">
        <v>251</v>
      </c>
      <c r="C92" s="5" t="s">
        <v>14</v>
      </c>
      <c r="D92" s="6" t="str">
        <f>IFERROR(__xludf.DUMMYFUNCTION("INDEX(IMPORTDATA(""https://raw.githubusercontent.com/lukes/ISO-3166-Countries-with-Regional-Codes/master/all/all.csv""), MATCH(C92, INDEX(IMPORTDATA(""https://raw.githubusercontent.com/lukes/ISO-3166-Countries-with-Regional-Codes/master/all/all.csv""), 0,"&amp;" 1), 0), 2)"),"NP")</f>
        <v>NP</v>
      </c>
      <c r="E92" s="5" t="s">
        <v>252</v>
      </c>
      <c r="F92" s="5" t="s">
        <v>253</v>
      </c>
      <c r="H92" s="12">
        <v>36802.0</v>
      </c>
      <c r="I92" s="5" t="s">
        <v>156</v>
      </c>
      <c r="J92" s="8" t="s">
        <v>17</v>
      </c>
      <c r="K92" s="9">
        <v>191.0</v>
      </c>
      <c r="L92" s="10" t="s">
        <v>22</v>
      </c>
      <c r="M92" s="6" t="str">
        <f t="shared" si="1"/>
        <v/>
      </c>
    </row>
    <row r="93" ht="22.5" customHeight="1">
      <c r="A93" s="5">
        <f t="shared" si="2"/>
        <v>92</v>
      </c>
      <c r="B93" s="5" t="s">
        <v>254</v>
      </c>
      <c r="C93" s="5" t="s">
        <v>14</v>
      </c>
      <c r="D93" s="6" t="str">
        <f>IFERROR(__xludf.DUMMYFUNCTION("INDEX(IMPORTDATA(""https://raw.githubusercontent.com/lukes/ISO-3166-Countries-with-Regional-Codes/master/all/all.csv""), MATCH(C93, INDEX(IMPORTDATA(""https://raw.githubusercontent.com/lukes/ISO-3166-Countries-with-Regional-Codes/master/all/all.csv""), 0,"&amp;" 1), 0), 2)"),"NP")</f>
        <v>NP</v>
      </c>
      <c r="E93" s="5" t="s">
        <v>255</v>
      </c>
      <c r="F93" s="5" t="s">
        <v>256</v>
      </c>
      <c r="H93" s="7">
        <v>37149.0</v>
      </c>
      <c r="I93" s="5" t="s">
        <v>156</v>
      </c>
      <c r="J93" s="8" t="s">
        <v>17</v>
      </c>
      <c r="K93" s="9">
        <v>192.0</v>
      </c>
      <c r="L93" s="10" t="s">
        <v>18</v>
      </c>
      <c r="M93" s="6" t="str">
        <f t="shared" si="1"/>
        <v/>
      </c>
    </row>
    <row r="94" ht="22.5" customHeight="1">
      <c r="A94" s="5">
        <f t="shared" si="2"/>
        <v>93</v>
      </c>
      <c r="B94" s="5" t="s">
        <v>257</v>
      </c>
      <c r="C94" s="5" t="s">
        <v>14</v>
      </c>
      <c r="D94" s="6" t="str">
        <f>IFERROR(__xludf.DUMMYFUNCTION("INDEX(IMPORTDATA(""https://raw.githubusercontent.com/lukes/ISO-3166-Countries-with-Regional-Codes/master/all/all.csv""), MATCH(C94, INDEX(IMPORTDATA(""https://raw.githubusercontent.com/lukes/ISO-3166-Countries-with-Regional-Codes/master/all/all.csv""), 0,"&amp;" 1), 0), 2)"),"NP")</f>
        <v>NP</v>
      </c>
      <c r="E94" s="5">
        <v>9.744230183E9</v>
      </c>
      <c r="F94" s="5" t="s">
        <v>258</v>
      </c>
      <c r="H94" s="7">
        <v>37980.0</v>
      </c>
      <c r="I94" s="5" t="s">
        <v>156</v>
      </c>
      <c r="J94" s="8" t="s">
        <v>17</v>
      </c>
      <c r="K94" s="9">
        <v>193.0</v>
      </c>
      <c r="L94" s="10" t="s">
        <v>18</v>
      </c>
      <c r="M94" s="6" t="str">
        <f t="shared" si="1"/>
        <v/>
      </c>
    </row>
    <row r="95" ht="22.5" customHeight="1">
      <c r="A95" s="5">
        <f t="shared" si="2"/>
        <v>94</v>
      </c>
      <c r="B95" s="5" t="s">
        <v>259</v>
      </c>
      <c r="C95" s="5" t="s">
        <v>14</v>
      </c>
      <c r="D95" s="6" t="str">
        <f>IFERROR(__xludf.DUMMYFUNCTION("INDEX(IMPORTDATA(""https://raw.githubusercontent.com/lukes/ISO-3166-Countries-with-Regional-Codes/master/all/all.csv""), MATCH(C95, INDEX(IMPORTDATA(""https://raw.githubusercontent.com/lukes/ISO-3166-Countries-with-Regional-Codes/master/all/all.csv""), 0,"&amp;" 1), 0), 2)"),"NP")</f>
        <v>NP</v>
      </c>
      <c r="E95" s="5">
        <v>9.865191278E9</v>
      </c>
      <c r="F95" s="5" t="s">
        <v>260</v>
      </c>
      <c r="H95" s="7">
        <v>38160.0</v>
      </c>
      <c r="I95" s="5" t="s">
        <v>156</v>
      </c>
      <c r="J95" s="8" t="s">
        <v>17</v>
      </c>
      <c r="K95" s="9">
        <v>194.0</v>
      </c>
      <c r="L95" s="10" t="s">
        <v>22</v>
      </c>
      <c r="M95" s="6" t="str">
        <f t="shared" si="1"/>
        <v/>
      </c>
    </row>
    <row r="96" ht="22.5" customHeight="1">
      <c r="A96" s="5">
        <f t="shared" si="2"/>
        <v>95</v>
      </c>
      <c r="B96" s="5" t="s">
        <v>261</v>
      </c>
      <c r="C96" s="5" t="s">
        <v>14</v>
      </c>
      <c r="D96" s="6" t="str">
        <f>IFERROR(__xludf.DUMMYFUNCTION("INDEX(IMPORTDATA(""https://raw.githubusercontent.com/lukes/ISO-3166-Countries-with-Regional-Codes/master/all/all.csv""), MATCH(C96, INDEX(IMPORTDATA(""https://raw.githubusercontent.com/lukes/ISO-3166-Countries-with-Regional-Codes/master/all/all.csv""), 0,"&amp;" 1), 0), 2)"),"NP")</f>
        <v>NP</v>
      </c>
      <c r="E96" s="5">
        <v>9.861797915E9</v>
      </c>
      <c r="F96" s="5" t="s">
        <v>262</v>
      </c>
      <c r="H96" s="12">
        <v>37840.0</v>
      </c>
      <c r="I96" s="5" t="s">
        <v>156</v>
      </c>
      <c r="J96" s="8" t="s">
        <v>17</v>
      </c>
      <c r="K96" s="9">
        <v>195.0</v>
      </c>
      <c r="L96" s="10" t="s">
        <v>35</v>
      </c>
      <c r="M96" s="6" t="str">
        <f t="shared" si="1"/>
        <v/>
      </c>
    </row>
    <row r="97" ht="22.5" customHeight="1">
      <c r="A97" s="5">
        <f t="shared" si="2"/>
        <v>96</v>
      </c>
      <c r="B97" s="5" t="s">
        <v>263</v>
      </c>
      <c r="C97" s="5" t="s">
        <v>14</v>
      </c>
      <c r="D97" s="6" t="str">
        <f>IFERROR(__xludf.DUMMYFUNCTION("INDEX(IMPORTDATA(""https://raw.githubusercontent.com/lukes/ISO-3166-Countries-with-Regional-Codes/master/all/all.csv""), MATCH(C97, INDEX(IMPORTDATA(""https://raw.githubusercontent.com/lukes/ISO-3166-Countries-with-Regional-Codes/master/all/all.csv""), 0,"&amp;" 1), 0), 2)"),"NP")</f>
        <v>NP</v>
      </c>
      <c r="E97" s="5">
        <v>9.84669111E9</v>
      </c>
      <c r="F97" s="5" t="s">
        <v>264</v>
      </c>
      <c r="H97" s="7">
        <v>40161.0</v>
      </c>
      <c r="I97" s="5" t="s">
        <v>156</v>
      </c>
      <c r="J97" s="8" t="s">
        <v>17</v>
      </c>
      <c r="K97" s="9">
        <v>196.0</v>
      </c>
      <c r="L97" s="10" t="s">
        <v>35</v>
      </c>
      <c r="M97" s="6" t="str">
        <f t="shared" si="1"/>
        <v/>
      </c>
    </row>
    <row r="98" ht="22.5" customHeight="1">
      <c r="A98" s="5">
        <f t="shared" si="2"/>
        <v>97</v>
      </c>
      <c r="B98" s="5" t="s">
        <v>265</v>
      </c>
      <c r="C98" s="5" t="s">
        <v>14</v>
      </c>
      <c r="D98" s="6" t="str">
        <f>IFERROR(__xludf.DUMMYFUNCTION("INDEX(IMPORTDATA(""https://raw.githubusercontent.com/lukes/ISO-3166-Countries-with-Regional-Codes/master/all/all.csv""), MATCH(C98, INDEX(IMPORTDATA(""https://raw.githubusercontent.com/lukes/ISO-3166-Countries-with-Regional-Codes/master/all/all.csv""), 0,"&amp;" 1), 0), 2)"),"NP")</f>
        <v>NP</v>
      </c>
      <c r="E98" s="5">
        <v>9.86081027E9</v>
      </c>
      <c r="F98" s="5" t="s">
        <v>266</v>
      </c>
      <c r="H98" s="7">
        <v>36364.0</v>
      </c>
      <c r="I98" s="5" t="s">
        <v>156</v>
      </c>
      <c r="J98" s="8" t="s">
        <v>17</v>
      </c>
      <c r="K98" s="9">
        <v>197.0</v>
      </c>
      <c r="L98" s="10" t="s">
        <v>89</v>
      </c>
      <c r="M98" s="6" t="str">
        <f t="shared" si="1"/>
        <v/>
      </c>
    </row>
    <row r="99" ht="22.5" customHeight="1">
      <c r="A99" s="5">
        <f t="shared" si="2"/>
        <v>98</v>
      </c>
      <c r="B99" s="5" t="s">
        <v>267</v>
      </c>
      <c r="C99" s="5" t="s">
        <v>14</v>
      </c>
      <c r="D99" s="6" t="str">
        <f>IFERROR(__xludf.DUMMYFUNCTION("INDEX(IMPORTDATA(""https://raw.githubusercontent.com/lukes/ISO-3166-Countries-with-Regional-Codes/master/all/all.csv""), MATCH(C99, INDEX(IMPORTDATA(""https://raw.githubusercontent.com/lukes/ISO-3166-Countries-with-Regional-Codes/master/all/all.csv""), 0,"&amp;" 1), 0), 2)"),"NP")</f>
        <v>NP</v>
      </c>
      <c r="E99" s="5" t="s">
        <v>268</v>
      </c>
      <c r="F99" s="5" t="s">
        <v>269</v>
      </c>
      <c r="H99" s="7">
        <v>26985.0</v>
      </c>
      <c r="I99" s="5" t="s">
        <v>156</v>
      </c>
      <c r="J99" s="8" t="s">
        <v>17</v>
      </c>
      <c r="K99" s="9">
        <v>198.0</v>
      </c>
      <c r="L99" s="10" t="s">
        <v>18</v>
      </c>
      <c r="M99" s="6" t="str">
        <f t="shared" si="1"/>
        <v/>
      </c>
    </row>
    <row r="100" ht="22.5" customHeight="1">
      <c r="A100" s="5">
        <f t="shared" si="2"/>
        <v>99</v>
      </c>
      <c r="B100" s="5" t="s">
        <v>270</v>
      </c>
      <c r="C100" s="5" t="s">
        <v>14</v>
      </c>
      <c r="D100" s="6" t="str">
        <f>IFERROR(__xludf.DUMMYFUNCTION("INDEX(IMPORTDATA(""https://raw.githubusercontent.com/lukes/ISO-3166-Countries-with-Regional-Codes/master/all/all.csv""), MATCH(C100, INDEX(IMPORTDATA(""https://raw.githubusercontent.com/lukes/ISO-3166-Countries-with-Regional-Codes/master/all/all.csv""), 0"&amp;", 1), 0), 2)"),"NP")</f>
        <v>NP</v>
      </c>
      <c r="E100" s="5">
        <v>9.746428585E9</v>
      </c>
      <c r="F100" s="5" t="s">
        <v>271</v>
      </c>
      <c r="H100" s="7">
        <v>34757.0</v>
      </c>
      <c r="I100" s="5" t="s">
        <v>156</v>
      </c>
      <c r="J100" s="8" t="s">
        <v>17</v>
      </c>
      <c r="K100" s="9">
        <v>199.0</v>
      </c>
      <c r="L100" s="10" t="s">
        <v>89</v>
      </c>
      <c r="M100" s="6" t="str">
        <f t="shared" si="1"/>
        <v/>
      </c>
    </row>
    <row r="101" ht="22.5" customHeight="1">
      <c r="A101" s="5">
        <f t="shared" si="2"/>
        <v>100</v>
      </c>
      <c r="B101" s="5" t="s">
        <v>272</v>
      </c>
      <c r="C101" s="5" t="s">
        <v>14</v>
      </c>
      <c r="D101" s="6" t="str">
        <f>IFERROR(__xludf.DUMMYFUNCTION("INDEX(IMPORTDATA(""https://raw.githubusercontent.com/lukes/ISO-3166-Countries-with-Regional-Codes/master/all/all.csv""), MATCH(C101, INDEX(IMPORTDATA(""https://raw.githubusercontent.com/lukes/ISO-3166-Countries-with-Regional-Codes/master/all/all.csv""), 0"&amp;", 1), 0), 2)"),"NP")</f>
        <v>NP</v>
      </c>
      <c r="E101" s="5">
        <v>9.823475929E9</v>
      </c>
      <c r="F101" s="5" t="s">
        <v>273</v>
      </c>
      <c r="H101" s="7">
        <v>31365.0</v>
      </c>
      <c r="I101" s="5" t="s">
        <v>156</v>
      </c>
      <c r="J101" s="8" t="s">
        <v>17</v>
      </c>
      <c r="K101" s="9">
        <v>200.0</v>
      </c>
      <c r="L101" s="10" t="s">
        <v>89</v>
      </c>
      <c r="M101" s="6" t="str">
        <f t="shared" si="1"/>
        <v/>
      </c>
    </row>
    <row r="102" ht="22.5" customHeight="1">
      <c r="A102" s="5">
        <f t="shared" si="2"/>
        <v>101</v>
      </c>
      <c r="B102" s="5" t="s">
        <v>274</v>
      </c>
      <c r="C102" s="5" t="s">
        <v>14</v>
      </c>
      <c r="D102" s="6" t="str">
        <f>IFERROR(__xludf.DUMMYFUNCTION("INDEX(IMPORTDATA(""https://raw.githubusercontent.com/lukes/ISO-3166-Countries-with-Regional-Codes/master/all/all.csv""), MATCH(C102, INDEX(IMPORTDATA(""https://raw.githubusercontent.com/lukes/ISO-3166-Countries-with-Regional-Codes/master/all/all.csv""), 0"&amp;", 1), 0), 2)"),"NP")</f>
        <v>NP</v>
      </c>
      <c r="E102" s="5">
        <v>9.819160548E9</v>
      </c>
      <c r="F102" s="5" t="s">
        <v>275</v>
      </c>
      <c r="H102" s="7">
        <v>36880.0</v>
      </c>
      <c r="I102" s="5" t="s">
        <v>156</v>
      </c>
      <c r="J102" s="8" t="s">
        <v>17</v>
      </c>
      <c r="K102" s="9">
        <v>201.0</v>
      </c>
      <c r="L102" s="10" t="s">
        <v>35</v>
      </c>
      <c r="M102" s="6" t="str">
        <f t="shared" si="1"/>
        <v/>
      </c>
    </row>
    <row r="103" ht="22.5" customHeight="1">
      <c r="A103" s="5">
        <f t="shared" si="2"/>
        <v>102</v>
      </c>
      <c r="B103" s="5" t="s">
        <v>276</v>
      </c>
      <c r="C103" s="5" t="s">
        <v>14</v>
      </c>
      <c r="D103" s="6" t="str">
        <f>IFERROR(__xludf.DUMMYFUNCTION("INDEX(IMPORTDATA(""https://raw.githubusercontent.com/lukes/ISO-3166-Countries-with-Regional-Codes/master/all/all.csv""), MATCH(C103, INDEX(IMPORTDATA(""https://raw.githubusercontent.com/lukes/ISO-3166-Countries-with-Regional-Codes/master/all/all.csv""), 0"&amp;", 1), 0), 2)"),"NP")</f>
        <v>NP</v>
      </c>
      <c r="E103" s="5">
        <v>9.863790332E9</v>
      </c>
      <c r="F103" s="5" t="s">
        <v>277</v>
      </c>
      <c r="H103" s="12">
        <v>37773.0</v>
      </c>
      <c r="I103" s="5" t="s">
        <v>156</v>
      </c>
      <c r="J103" s="8" t="s">
        <v>17</v>
      </c>
      <c r="K103" s="9">
        <v>202.0</v>
      </c>
      <c r="L103" s="10" t="s">
        <v>35</v>
      </c>
      <c r="M103" s="6" t="str">
        <f t="shared" si="1"/>
        <v/>
      </c>
    </row>
    <row r="104" ht="22.5" customHeight="1">
      <c r="A104" s="5">
        <f t="shared" si="2"/>
        <v>103</v>
      </c>
      <c r="B104" s="5" t="s">
        <v>278</v>
      </c>
      <c r="C104" s="5" t="s">
        <v>14</v>
      </c>
      <c r="D104" s="6" t="str">
        <f>IFERROR(__xludf.DUMMYFUNCTION("INDEX(IMPORTDATA(""https://raw.githubusercontent.com/lukes/ISO-3166-Countries-with-Regional-Codes/master/all/all.csv""), MATCH(C104, INDEX(IMPORTDATA(""https://raw.githubusercontent.com/lukes/ISO-3166-Countries-with-Regional-Codes/master/all/all.csv""), 0"&amp;", 1), 0), 2)"),"NP")</f>
        <v>NP</v>
      </c>
      <c r="E104" s="5">
        <v>9.860079032E9</v>
      </c>
      <c r="F104" s="5" t="s">
        <v>279</v>
      </c>
      <c r="H104" s="7">
        <v>32255.0</v>
      </c>
      <c r="I104" s="5" t="s">
        <v>156</v>
      </c>
      <c r="J104" s="8" t="s">
        <v>17</v>
      </c>
      <c r="K104" s="9">
        <v>203.0</v>
      </c>
      <c r="L104" s="10" t="s">
        <v>35</v>
      </c>
      <c r="M104" s="6" t="str">
        <f t="shared" si="1"/>
        <v/>
      </c>
    </row>
    <row r="105" ht="22.5" customHeight="1">
      <c r="A105" s="5">
        <f t="shared" si="2"/>
        <v>104</v>
      </c>
      <c r="B105" s="5" t="s">
        <v>280</v>
      </c>
      <c r="C105" s="5" t="s">
        <v>14</v>
      </c>
      <c r="D105" s="6" t="str">
        <f>IFERROR(__xludf.DUMMYFUNCTION("INDEX(IMPORTDATA(""https://raw.githubusercontent.com/lukes/ISO-3166-Countries-with-Regional-Codes/master/all/all.csv""), MATCH(C105, INDEX(IMPORTDATA(""https://raw.githubusercontent.com/lukes/ISO-3166-Countries-with-Regional-Codes/master/all/all.csv""), 0"&amp;", 1), 0), 2)"),"NP")</f>
        <v>NP</v>
      </c>
      <c r="E105" s="5">
        <v>9.849529947E9</v>
      </c>
      <c r="F105" s="5" t="s">
        <v>281</v>
      </c>
      <c r="H105" s="7">
        <v>31070.0</v>
      </c>
      <c r="I105" s="5" t="s">
        <v>156</v>
      </c>
      <c r="J105" s="8" t="s">
        <v>17</v>
      </c>
      <c r="K105" s="9">
        <v>204.0</v>
      </c>
      <c r="L105" s="10" t="s">
        <v>89</v>
      </c>
      <c r="M105" s="6" t="str">
        <f t="shared" si="1"/>
        <v/>
      </c>
    </row>
    <row r="106" ht="22.5" customHeight="1">
      <c r="A106" s="5">
        <f t="shared" si="2"/>
        <v>105</v>
      </c>
      <c r="B106" s="5" t="s">
        <v>282</v>
      </c>
      <c r="C106" s="5" t="s">
        <v>14</v>
      </c>
      <c r="D106" s="6" t="str">
        <f>IFERROR(__xludf.DUMMYFUNCTION("INDEX(IMPORTDATA(""https://raw.githubusercontent.com/lukes/ISO-3166-Countries-with-Regional-Codes/master/all/all.csv""), MATCH(C106, INDEX(IMPORTDATA(""https://raw.githubusercontent.com/lukes/ISO-3166-Countries-with-Regional-Codes/master/all/all.csv""), 0"&amp;", 1), 0), 2)"),"NP")</f>
        <v>NP</v>
      </c>
      <c r="E106" s="5">
        <v>9.81320321E9</v>
      </c>
      <c r="F106" s="5" t="s">
        <v>283</v>
      </c>
      <c r="H106" s="12">
        <v>40551.0</v>
      </c>
      <c r="I106" s="5" t="s">
        <v>156</v>
      </c>
      <c r="J106" s="8" t="s">
        <v>17</v>
      </c>
      <c r="K106" s="9">
        <v>205.0</v>
      </c>
      <c r="L106" s="10" t="s">
        <v>35</v>
      </c>
      <c r="M106" s="6" t="str">
        <f t="shared" si="1"/>
        <v/>
      </c>
    </row>
    <row r="107" ht="22.5" customHeight="1">
      <c r="A107" s="5">
        <f t="shared" si="2"/>
        <v>106</v>
      </c>
      <c r="B107" s="5" t="s">
        <v>284</v>
      </c>
      <c r="C107" s="5" t="s">
        <v>14</v>
      </c>
      <c r="D107" s="6" t="str">
        <f>IFERROR(__xludf.DUMMYFUNCTION("INDEX(IMPORTDATA(""https://raw.githubusercontent.com/lukes/ISO-3166-Countries-with-Regional-Codes/master/all/all.csv""), MATCH(C107, INDEX(IMPORTDATA(""https://raw.githubusercontent.com/lukes/ISO-3166-Countries-with-Regional-Codes/master/all/all.csv""), 0"&amp;", 1), 0), 2)"),"NP")</f>
        <v>NP</v>
      </c>
      <c r="E107" s="5">
        <v>9.81320321E9</v>
      </c>
      <c r="F107" s="5" t="s">
        <v>283</v>
      </c>
      <c r="H107" s="7">
        <v>41509.0</v>
      </c>
      <c r="I107" s="5" t="s">
        <v>156</v>
      </c>
      <c r="J107" s="8" t="s">
        <v>17</v>
      </c>
      <c r="K107" s="9">
        <v>206.0</v>
      </c>
      <c r="L107" s="10" t="s">
        <v>35</v>
      </c>
      <c r="M107" s="6" t="str">
        <f t="shared" si="1"/>
        <v/>
      </c>
    </row>
    <row r="108" ht="22.5" customHeight="1">
      <c r="A108" s="5">
        <f t="shared" si="2"/>
        <v>107</v>
      </c>
      <c r="B108" s="5" t="s">
        <v>285</v>
      </c>
      <c r="C108" s="5" t="s">
        <v>14</v>
      </c>
      <c r="D108" s="6" t="str">
        <f>IFERROR(__xludf.DUMMYFUNCTION("INDEX(IMPORTDATA(""https://raw.githubusercontent.com/lukes/ISO-3166-Countries-with-Regional-Codes/master/all/all.csv""), MATCH(C108, INDEX(IMPORTDATA(""https://raw.githubusercontent.com/lukes/ISO-3166-Countries-with-Regional-Codes/master/all/all.csv""), 0"&amp;", 1), 0), 2)"),"NP")</f>
        <v>NP</v>
      </c>
      <c r="E108" s="5">
        <v>9.81320321E9</v>
      </c>
      <c r="F108" s="5" t="s">
        <v>283</v>
      </c>
      <c r="H108" s="12">
        <v>39852.0</v>
      </c>
      <c r="I108" s="5" t="s">
        <v>156</v>
      </c>
      <c r="J108" s="8" t="s">
        <v>17</v>
      </c>
      <c r="K108" s="9">
        <v>207.0</v>
      </c>
      <c r="L108" s="10" t="s">
        <v>35</v>
      </c>
      <c r="M108" s="6" t="str">
        <f t="shared" si="1"/>
        <v/>
      </c>
    </row>
    <row r="109" ht="22.5" customHeight="1">
      <c r="A109" s="5">
        <f t="shared" si="2"/>
        <v>108</v>
      </c>
      <c r="B109" s="5" t="s">
        <v>286</v>
      </c>
      <c r="C109" s="5" t="s">
        <v>14</v>
      </c>
      <c r="D109" s="6" t="str">
        <f>IFERROR(__xludf.DUMMYFUNCTION("INDEX(IMPORTDATA(""https://raw.githubusercontent.com/lukes/ISO-3166-Countries-with-Regional-Codes/master/all/all.csv""), MATCH(C109, INDEX(IMPORTDATA(""https://raw.githubusercontent.com/lukes/ISO-3166-Countries-with-Regional-Codes/master/all/all.csv""), 0"&amp;", 1), 0), 2)"),"NP")</f>
        <v>NP</v>
      </c>
      <c r="E109" s="5">
        <v>9.851050299E9</v>
      </c>
      <c r="F109" s="5" t="s">
        <v>287</v>
      </c>
      <c r="H109" s="7">
        <v>30702.0</v>
      </c>
      <c r="I109" s="5" t="s">
        <v>156</v>
      </c>
      <c r="J109" s="8" t="s">
        <v>17</v>
      </c>
      <c r="K109" s="9">
        <v>208.0</v>
      </c>
      <c r="L109" s="10" t="s">
        <v>22</v>
      </c>
      <c r="M109" s="6" t="str">
        <f t="shared" si="1"/>
        <v/>
      </c>
    </row>
    <row r="110" ht="22.5" customHeight="1">
      <c r="A110" s="5">
        <f t="shared" si="2"/>
        <v>109</v>
      </c>
      <c r="B110" s="5" t="s">
        <v>288</v>
      </c>
      <c r="C110" s="5" t="s">
        <v>14</v>
      </c>
      <c r="D110" s="6" t="str">
        <f>IFERROR(__xludf.DUMMYFUNCTION("INDEX(IMPORTDATA(""https://raw.githubusercontent.com/lukes/ISO-3166-Countries-with-Regional-Codes/master/all/all.csv""), MATCH(C110, INDEX(IMPORTDATA(""https://raw.githubusercontent.com/lukes/ISO-3166-Countries-with-Regional-Codes/master/all/all.csv""), 0"&amp;", 1), 0), 2)"),"NP")</f>
        <v>NP</v>
      </c>
      <c r="E110" s="5">
        <v>9.841188686E9</v>
      </c>
      <c r="F110" s="5" t="s">
        <v>289</v>
      </c>
      <c r="H110" s="12">
        <v>34947.0</v>
      </c>
      <c r="I110" s="5" t="s">
        <v>156</v>
      </c>
      <c r="J110" s="8" t="s">
        <v>17</v>
      </c>
      <c r="K110" s="9">
        <v>209.0</v>
      </c>
      <c r="L110" s="10" t="s">
        <v>89</v>
      </c>
      <c r="M110" s="6" t="str">
        <f t="shared" si="1"/>
        <v/>
      </c>
    </row>
    <row r="111" ht="22.5" customHeight="1">
      <c r="A111" s="5">
        <f t="shared" si="2"/>
        <v>110</v>
      </c>
      <c r="B111" s="5" t="s">
        <v>290</v>
      </c>
      <c r="C111" s="5" t="s">
        <v>14</v>
      </c>
      <c r="D111" s="6" t="str">
        <f>IFERROR(__xludf.DUMMYFUNCTION("INDEX(IMPORTDATA(""https://raw.githubusercontent.com/lukes/ISO-3166-Countries-with-Regional-Codes/master/all/all.csv""), MATCH(C111, INDEX(IMPORTDATA(""https://raw.githubusercontent.com/lukes/ISO-3166-Countries-with-Regional-Codes/master/all/all.csv""), 0"&amp;", 1), 0), 2)"),"NP")</f>
        <v>NP</v>
      </c>
      <c r="E111" s="5">
        <v>9.81484881E9</v>
      </c>
      <c r="F111" s="5" t="s">
        <v>291</v>
      </c>
      <c r="H111" s="12">
        <v>35798.0</v>
      </c>
      <c r="I111" s="5" t="s">
        <v>156</v>
      </c>
      <c r="J111" s="8" t="s">
        <v>17</v>
      </c>
      <c r="K111" s="9">
        <v>210.0</v>
      </c>
      <c r="L111" s="10" t="s">
        <v>18</v>
      </c>
      <c r="M111" s="6" t="str">
        <f t="shared" si="1"/>
        <v/>
      </c>
    </row>
    <row r="112" ht="22.5" customHeight="1">
      <c r="A112" s="5">
        <f t="shared" si="2"/>
        <v>111</v>
      </c>
      <c r="B112" s="5" t="s">
        <v>292</v>
      </c>
      <c r="C112" s="5" t="s">
        <v>14</v>
      </c>
      <c r="D112" s="6" t="str">
        <f>IFERROR(__xludf.DUMMYFUNCTION("INDEX(IMPORTDATA(""https://raw.githubusercontent.com/lukes/ISO-3166-Countries-with-Regional-Codes/master/all/all.csv""), MATCH(C112, INDEX(IMPORTDATA(""https://raw.githubusercontent.com/lukes/ISO-3166-Countries-with-Regional-Codes/master/all/all.csv""), 0"&amp;", 1), 0), 2)"),"NP")</f>
        <v>NP</v>
      </c>
      <c r="E112" s="5" t="s">
        <v>293</v>
      </c>
      <c r="F112" s="5" t="s">
        <v>294</v>
      </c>
      <c r="H112" s="7">
        <v>38553.0</v>
      </c>
      <c r="I112" s="5" t="s">
        <v>156</v>
      </c>
      <c r="J112" s="8" t="s">
        <v>17</v>
      </c>
      <c r="K112" s="9">
        <v>211.0</v>
      </c>
      <c r="L112" s="10" t="s">
        <v>29</v>
      </c>
      <c r="M112" s="6" t="str">
        <f t="shared" si="1"/>
        <v/>
      </c>
    </row>
    <row r="113" ht="22.5" customHeight="1">
      <c r="A113" s="5">
        <f t="shared" si="2"/>
        <v>112</v>
      </c>
      <c r="B113" s="5" t="s">
        <v>295</v>
      </c>
      <c r="C113" s="5" t="s">
        <v>14</v>
      </c>
      <c r="D113" s="6" t="str">
        <f>IFERROR(__xludf.DUMMYFUNCTION("INDEX(IMPORTDATA(""https://raw.githubusercontent.com/lukes/ISO-3166-Countries-with-Regional-Codes/master/all/all.csv""), MATCH(C113, INDEX(IMPORTDATA(""https://raw.githubusercontent.com/lukes/ISO-3166-Countries-with-Regional-Codes/master/all/all.csv""), 0"&amp;", 1), 0), 2)"),"NP")</f>
        <v>NP</v>
      </c>
      <c r="E113" s="5" t="s">
        <v>296</v>
      </c>
      <c r="F113" s="5" t="s">
        <v>297</v>
      </c>
      <c r="H113" s="7">
        <v>34479.0</v>
      </c>
      <c r="I113" s="5" t="s">
        <v>156</v>
      </c>
      <c r="J113" s="8" t="s">
        <v>17</v>
      </c>
      <c r="K113" s="9">
        <v>212.0</v>
      </c>
      <c r="L113" s="10" t="s">
        <v>18</v>
      </c>
      <c r="M113" s="6" t="str">
        <f t="shared" si="1"/>
        <v/>
      </c>
    </row>
    <row r="114" ht="22.5" customHeight="1">
      <c r="A114" s="5">
        <f t="shared" si="2"/>
        <v>113</v>
      </c>
      <c r="B114" s="5" t="s">
        <v>298</v>
      </c>
      <c r="C114" s="5" t="s">
        <v>14</v>
      </c>
      <c r="D114" s="6" t="str">
        <f>IFERROR(__xludf.DUMMYFUNCTION("INDEX(IMPORTDATA(""https://raw.githubusercontent.com/lukes/ISO-3166-Countries-with-Regional-Codes/master/all/all.csv""), MATCH(C114, INDEX(IMPORTDATA(""https://raw.githubusercontent.com/lukes/ISO-3166-Countries-with-Regional-Codes/master/all/all.csv""), 0"&amp;", 1), 0), 2)"),"NP")</f>
        <v>NP</v>
      </c>
      <c r="E114" s="5">
        <v>9.76724401E9</v>
      </c>
      <c r="F114" s="5" t="s">
        <v>299</v>
      </c>
      <c r="H114" s="12">
        <v>38570.0</v>
      </c>
      <c r="I114" s="5" t="s">
        <v>156</v>
      </c>
      <c r="J114" s="8" t="s">
        <v>17</v>
      </c>
      <c r="K114" s="9">
        <v>213.0</v>
      </c>
      <c r="L114" s="10" t="s">
        <v>89</v>
      </c>
      <c r="M114" s="6" t="str">
        <f t="shared" si="1"/>
        <v/>
      </c>
    </row>
    <row r="115" ht="22.5" customHeight="1">
      <c r="A115" s="5">
        <f t="shared" si="2"/>
        <v>114</v>
      </c>
      <c r="B115" s="5" t="s">
        <v>300</v>
      </c>
      <c r="C115" s="5" t="s">
        <v>14</v>
      </c>
      <c r="D115" s="6" t="str">
        <f>IFERROR(__xludf.DUMMYFUNCTION("INDEX(IMPORTDATA(""https://raw.githubusercontent.com/lukes/ISO-3166-Countries-with-Regional-Codes/master/all/all.csv""), MATCH(C115, INDEX(IMPORTDATA(""https://raw.githubusercontent.com/lukes/ISO-3166-Countries-with-Regional-Codes/master/all/all.csv""), 0"&amp;", 1), 0), 2)"),"NP")</f>
        <v>NP</v>
      </c>
      <c r="E115" s="5" t="s">
        <v>301</v>
      </c>
      <c r="F115" s="5" t="s">
        <v>302</v>
      </c>
      <c r="H115" s="7">
        <v>25557.0</v>
      </c>
      <c r="I115" s="5" t="s">
        <v>156</v>
      </c>
      <c r="J115" s="8" t="s">
        <v>17</v>
      </c>
      <c r="K115" s="9">
        <v>214.0</v>
      </c>
      <c r="L115" s="10" t="s">
        <v>89</v>
      </c>
      <c r="M115" s="6" t="str">
        <f t="shared" si="1"/>
        <v/>
      </c>
    </row>
    <row r="116" ht="22.5" customHeight="1">
      <c r="A116" s="5">
        <f t="shared" si="2"/>
        <v>115</v>
      </c>
      <c r="B116" s="5" t="s">
        <v>303</v>
      </c>
      <c r="C116" s="5" t="s">
        <v>14</v>
      </c>
      <c r="D116" s="6" t="str">
        <f>IFERROR(__xludf.DUMMYFUNCTION("INDEX(IMPORTDATA(""https://raw.githubusercontent.com/lukes/ISO-3166-Countries-with-Regional-Codes/master/all/all.csv""), MATCH(C116, INDEX(IMPORTDATA(""https://raw.githubusercontent.com/lukes/ISO-3166-Countries-with-Regional-Codes/master/all/all.csv""), 0"&amp;", 1), 0), 2)"),"NP")</f>
        <v>NP</v>
      </c>
      <c r="E116" s="5" t="s">
        <v>304</v>
      </c>
      <c r="F116" s="5" t="s">
        <v>305</v>
      </c>
      <c r="H116" s="7">
        <v>25557.0</v>
      </c>
      <c r="I116" s="5" t="s">
        <v>156</v>
      </c>
      <c r="J116" s="8" t="s">
        <v>17</v>
      </c>
      <c r="K116" s="9">
        <v>215.0</v>
      </c>
      <c r="L116" s="10" t="s">
        <v>35</v>
      </c>
      <c r="M116" s="6" t="str">
        <f t="shared" si="1"/>
        <v/>
      </c>
    </row>
    <row r="117" ht="22.5" customHeight="1">
      <c r="A117" s="5">
        <f t="shared" si="2"/>
        <v>116</v>
      </c>
      <c r="B117" s="5" t="s">
        <v>306</v>
      </c>
      <c r="C117" s="5" t="s">
        <v>14</v>
      </c>
      <c r="D117" s="6" t="str">
        <f>IFERROR(__xludf.DUMMYFUNCTION("INDEX(IMPORTDATA(""https://raw.githubusercontent.com/lukes/ISO-3166-Countries-with-Regional-Codes/master/all/all.csv""), MATCH(C117, INDEX(IMPORTDATA(""https://raw.githubusercontent.com/lukes/ISO-3166-Countries-with-Regional-Codes/master/all/all.csv""), 0"&amp;", 1), 0), 2)"),"NP")</f>
        <v>NP</v>
      </c>
      <c r="E117" s="5" t="s">
        <v>103</v>
      </c>
      <c r="F117" s="5" t="s">
        <v>104</v>
      </c>
      <c r="H117" s="7">
        <v>25557.0</v>
      </c>
      <c r="I117" s="5" t="s">
        <v>156</v>
      </c>
      <c r="J117" s="8" t="s">
        <v>17</v>
      </c>
      <c r="K117" s="9">
        <v>216.0</v>
      </c>
      <c r="L117" s="10" t="s">
        <v>22</v>
      </c>
      <c r="M117" s="6" t="str">
        <f t="shared" si="1"/>
        <v/>
      </c>
    </row>
    <row r="118" ht="22.5" customHeight="1">
      <c r="A118" s="5">
        <f t="shared" si="2"/>
        <v>117</v>
      </c>
      <c r="B118" s="5" t="s">
        <v>307</v>
      </c>
      <c r="C118" s="5" t="s">
        <v>14</v>
      </c>
      <c r="D118" s="6" t="str">
        <f>IFERROR(__xludf.DUMMYFUNCTION("INDEX(IMPORTDATA(""https://raw.githubusercontent.com/lukes/ISO-3166-Countries-with-Regional-Codes/master/all/all.csv""), MATCH(C118, INDEX(IMPORTDATA(""https://raw.githubusercontent.com/lukes/ISO-3166-Countries-with-Regional-Codes/master/all/all.csv""), 0"&amp;", 1), 0), 2)"),"NP")</f>
        <v>NP</v>
      </c>
      <c r="E118" s="5" t="s">
        <v>106</v>
      </c>
      <c r="F118" s="5" t="s">
        <v>107</v>
      </c>
      <c r="H118" s="7">
        <v>25557.0</v>
      </c>
      <c r="I118" s="5" t="s">
        <v>156</v>
      </c>
      <c r="J118" s="8" t="s">
        <v>17</v>
      </c>
      <c r="K118" s="9">
        <v>217.0</v>
      </c>
      <c r="L118" s="10" t="s">
        <v>18</v>
      </c>
      <c r="M118" s="6" t="str">
        <f t="shared" si="1"/>
        <v/>
      </c>
    </row>
    <row r="119" ht="22.5" customHeight="1">
      <c r="A119" s="5">
        <f t="shared" si="2"/>
        <v>118</v>
      </c>
      <c r="B119" s="5" t="s">
        <v>308</v>
      </c>
      <c r="C119" s="5" t="s">
        <v>14</v>
      </c>
      <c r="D119" s="6" t="str">
        <f>IFERROR(__xludf.DUMMYFUNCTION("INDEX(IMPORTDATA(""https://raw.githubusercontent.com/lukes/ISO-3166-Countries-with-Regional-Codes/master/all/all.csv""), MATCH(C119, INDEX(IMPORTDATA(""https://raw.githubusercontent.com/lukes/ISO-3166-Countries-with-Regional-Codes/master/all/all.csv""), 0"&amp;", 1), 0), 2)"),"NP")</f>
        <v>NP</v>
      </c>
      <c r="E119" s="5" t="s">
        <v>309</v>
      </c>
      <c r="F119" s="5" t="s">
        <v>310</v>
      </c>
      <c r="H119" s="7">
        <v>25557.0</v>
      </c>
      <c r="I119" s="5" t="s">
        <v>156</v>
      </c>
      <c r="J119" s="8" t="s">
        <v>17</v>
      </c>
      <c r="K119" s="9">
        <v>218.0</v>
      </c>
      <c r="L119" s="10" t="s">
        <v>18</v>
      </c>
      <c r="M119" s="6" t="str">
        <f t="shared" si="1"/>
        <v/>
      </c>
    </row>
    <row r="120" ht="22.5" customHeight="1">
      <c r="A120" s="5">
        <f t="shared" si="2"/>
        <v>119</v>
      </c>
      <c r="B120" s="5" t="s">
        <v>311</v>
      </c>
      <c r="C120" s="5" t="s">
        <v>14</v>
      </c>
      <c r="D120" s="6" t="str">
        <f>IFERROR(__xludf.DUMMYFUNCTION("INDEX(IMPORTDATA(""https://raw.githubusercontent.com/lukes/ISO-3166-Countries-with-Regional-Codes/master/all/all.csv""), MATCH(C120, INDEX(IMPORTDATA(""https://raw.githubusercontent.com/lukes/ISO-3166-Countries-with-Regional-Codes/master/all/all.csv""), 0"&amp;", 1), 0), 2)"),"NP")</f>
        <v>NP</v>
      </c>
      <c r="E120" s="5" t="s">
        <v>312</v>
      </c>
      <c r="F120" s="5" t="s">
        <v>313</v>
      </c>
      <c r="H120" s="7">
        <v>25557.0</v>
      </c>
      <c r="I120" s="5" t="s">
        <v>156</v>
      </c>
      <c r="J120" s="8" t="s">
        <v>17</v>
      </c>
      <c r="K120" s="9">
        <v>219.0</v>
      </c>
      <c r="L120" s="10" t="s">
        <v>18</v>
      </c>
      <c r="M120" s="6" t="str">
        <f t="shared" si="1"/>
        <v/>
      </c>
    </row>
    <row r="121" ht="22.5" customHeight="1">
      <c r="A121" s="5">
        <f t="shared" si="2"/>
        <v>120</v>
      </c>
      <c r="B121" s="5" t="s">
        <v>314</v>
      </c>
      <c r="C121" s="5" t="s">
        <v>14</v>
      </c>
      <c r="D121" s="6" t="str">
        <f>IFERROR(__xludf.DUMMYFUNCTION("INDEX(IMPORTDATA(""https://raw.githubusercontent.com/lukes/ISO-3166-Countries-with-Regional-Codes/master/all/all.csv""), MATCH(C121, INDEX(IMPORTDATA(""https://raw.githubusercontent.com/lukes/ISO-3166-Countries-with-Regional-Codes/master/all/all.csv""), 0"&amp;", 1), 0), 2)"),"NP")</f>
        <v>NP</v>
      </c>
      <c r="E121" s="5" t="s">
        <v>315</v>
      </c>
      <c r="F121" s="5" t="s">
        <v>316</v>
      </c>
      <c r="H121" s="7">
        <v>25557.0</v>
      </c>
      <c r="I121" s="5" t="s">
        <v>156</v>
      </c>
      <c r="J121" s="8" t="s">
        <v>17</v>
      </c>
      <c r="K121" s="9">
        <v>220.0</v>
      </c>
      <c r="L121" s="10" t="s">
        <v>89</v>
      </c>
      <c r="M121" s="6" t="str">
        <f t="shared" si="1"/>
        <v/>
      </c>
    </row>
    <row r="122" ht="22.5" customHeight="1">
      <c r="A122" s="5">
        <f t="shared" si="2"/>
        <v>121</v>
      </c>
      <c r="B122" s="5" t="s">
        <v>317</v>
      </c>
      <c r="C122" s="5" t="s">
        <v>14</v>
      </c>
      <c r="D122" s="6" t="str">
        <f>IFERROR(__xludf.DUMMYFUNCTION("INDEX(IMPORTDATA(""https://raw.githubusercontent.com/lukes/ISO-3166-Countries-with-Regional-Codes/master/all/all.csv""), MATCH(C122, INDEX(IMPORTDATA(""https://raw.githubusercontent.com/lukes/ISO-3166-Countries-with-Regional-Codes/master/all/all.csv""), 0"&amp;", 1), 0), 2)"),"NP")</f>
        <v>NP</v>
      </c>
      <c r="E122" s="5" t="s">
        <v>318</v>
      </c>
      <c r="F122" s="5" t="s">
        <v>319</v>
      </c>
      <c r="H122" s="7">
        <v>25557.0</v>
      </c>
      <c r="I122" s="5" t="s">
        <v>156</v>
      </c>
      <c r="J122" s="8" t="s">
        <v>17</v>
      </c>
      <c r="K122" s="9">
        <v>221.0</v>
      </c>
      <c r="L122" s="10" t="s">
        <v>35</v>
      </c>
      <c r="M122" s="6" t="str">
        <f t="shared" si="1"/>
        <v/>
      </c>
    </row>
    <row r="123" ht="22.5" customHeight="1">
      <c r="A123" s="5">
        <f t="shared" si="2"/>
        <v>122</v>
      </c>
      <c r="B123" s="5" t="s">
        <v>320</v>
      </c>
      <c r="C123" s="5" t="s">
        <v>14</v>
      </c>
      <c r="D123" s="6" t="str">
        <f>IFERROR(__xludf.DUMMYFUNCTION("INDEX(IMPORTDATA(""https://raw.githubusercontent.com/lukes/ISO-3166-Countries-with-Regional-Codes/master/all/all.csv""), MATCH(C123, INDEX(IMPORTDATA(""https://raw.githubusercontent.com/lukes/ISO-3166-Countries-with-Regional-Codes/master/all/all.csv""), 0"&amp;", 1), 0), 2)"),"NP")</f>
        <v>NP</v>
      </c>
      <c r="E123" s="5" t="s">
        <v>321</v>
      </c>
      <c r="F123" s="5" t="s">
        <v>322</v>
      </c>
      <c r="H123" s="7">
        <v>25557.0</v>
      </c>
      <c r="I123" s="5" t="s">
        <v>156</v>
      </c>
      <c r="J123" s="8" t="s">
        <v>17</v>
      </c>
      <c r="K123" s="9">
        <v>222.0</v>
      </c>
      <c r="L123" s="10" t="s">
        <v>35</v>
      </c>
      <c r="M123" s="6" t="str">
        <f t="shared" si="1"/>
        <v/>
      </c>
    </row>
    <row r="124" ht="22.5" customHeight="1">
      <c r="A124" s="5">
        <f t="shared" si="2"/>
        <v>123</v>
      </c>
      <c r="B124" s="5" t="s">
        <v>323</v>
      </c>
      <c r="C124" s="5" t="s">
        <v>14</v>
      </c>
      <c r="D124" s="6" t="str">
        <f>IFERROR(__xludf.DUMMYFUNCTION("INDEX(IMPORTDATA(""https://raw.githubusercontent.com/lukes/ISO-3166-Countries-with-Regional-Codes/master/all/all.csv""), MATCH(C124, INDEX(IMPORTDATA(""https://raw.githubusercontent.com/lukes/ISO-3166-Countries-with-Regional-Codes/master/all/all.csv""), 0"&amp;", 1), 0), 2)"),"NP")</f>
        <v>NP</v>
      </c>
      <c r="E124" s="5" t="s">
        <v>109</v>
      </c>
      <c r="F124" s="5" t="s">
        <v>110</v>
      </c>
      <c r="H124" s="7">
        <v>25557.0</v>
      </c>
      <c r="I124" s="5" t="s">
        <v>156</v>
      </c>
      <c r="J124" s="8" t="s">
        <v>17</v>
      </c>
      <c r="K124" s="9">
        <v>223.0</v>
      </c>
      <c r="L124" s="10" t="s">
        <v>89</v>
      </c>
      <c r="M124" s="6" t="str">
        <f t="shared" si="1"/>
        <v/>
      </c>
    </row>
    <row r="125" ht="22.5" customHeight="1">
      <c r="A125" s="5">
        <f t="shared" si="2"/>
        <v>124</v>
      </c>
      <c r="B125" s="5" t="s">
        <v>324</v>
      </c>
      <c r="C125" s="5" t="s">
        <v>14</v>
      </c>
      <c r="D125" s="6" t="str">
        <f>IFERROR(__xludf.DUMMYFUNCTION("INDEX(IMPORTDATA(""https://raw.githubusercontent.com/lukes/ISO-3166-Countries-with-Regional-Codes/master/all/all.csv""), MATCH(C125, INDEX(IMPORTDATA(""https://raw.githubusercontent.com/lukes/ISO-3166-Countries-with-Regional-Codes/master/all/all.csv""), 0"&amp;", 1), 0), 2)"),"NP")</f>
        <v>NP</v>
      </c>
      <c r="E125" s="5" t="s">
        <v>115</v>
      </c>
      <c r="F125" s="5" t="s">
        <v>116</v>
      </c>
      <c r="H125" s="7">
        <v>25557.0</v>
      </c>
      <c r="I125" s="5" t="s">
        <v>156</v>
      </c>
      <c r="J125" s="8" t="s">
        <v>17</v>
      </c>
      <c r="K125" s="9">
        <v>224.0</v>
      </c>
      <c r="L125" s="10" t="s">
        <v>89</v>
      </c>
      <c r="M125" s="6" t="str">
        <f t="shared" si="1"/>
        <v/>
      </c>
    </row>
    <row r="126" ht="22.5" customHeight="1">
      <c r="A126" s="5">
        <f t="shared" si="2"/>
        <v>125</v>
      </c>
      <c r="B126" s="5" t="s">
        <v>325</v>
      </c>
      <c r="C126" s="5" t="s">
        <v>14</v>
      </c>
      <c r="D126" s="6" t="str">
        <f>IFERROR(__xludf.DUMMYFUNCTION("INDEX(IMPORTDATA(""https://raw.githubusercontent.com/lukes/ISO-3166-Countries-with-Regional-Codes/master/all/all.csv""), MATCH(C126, INDEX(IMPORTDATA(""https://raw.githubusercontent.com/lukes/ISO-3166-Countries-with-Regional-Codes/master/all/all.csv""), 0"&amp;", 1), 0), 2)"),"NP")</f>
        <v>NP</v>
      </c>
      <c r="E126" s="5" t="s">
        <v>301</v>
      </c>
      <c r="F126" s="5" t="s">
        <v>302</v>
      </c>
      <c r="H126" s="7">
        <v>25557.0</v>
      </c>
      <c r="I126" s="5" t="s">
        <v>156</v>
      </c>
      <c r="J126" s="8" t="s">
        <v>17</v>
      </c>
      <c r="K126" s="9">
        <v>225.0</v>
      </c>
      <c r="L126" s="10" t="s">
        <v>89</v>
      </c>
      <c r="M126" s="6" t="str">
        <f t="shared" si="1"/>
        <v/>
      </c>
    </row>
    <row r="127" ht="22.5" customHeight="1">
      <c r="A127" s="5">
        <f t="shared" si="2"/>
        <v>126</v>
      </c>
      <c r="B127" s="5" t="s">
        <v>326</v>
      </c>
      <c r="C127" s="5" t="s">
        <v>14</v>
      </c>
      <c r="D127" s="6" t="str">
        <f>IFERROR(__xludf.DUMMYFUNCTION("INDEX(IMPORTDATA(""https://raw.githubusercontent.com/lukes/ISO-3166-Countries-with-Regional-Codes/master/all/all.csv""), MATCH(C127, INDEX(IMPORTDATA(""https://raw.githubusercontent.com/lukes/ISO-3166-Countries-with-Regional-Codes/master/all/all.csv""), 0"&amp;", 1), 0), 2)"),"NP")</f>
        <v>NP</v>
      </c>
      <c r="E127" s="5">
        <v>9.849622244E9</v>
      </c>
      <c r="F127" s="5" t="s">
        <v>327</v>
      </c>
      <c r="H127" s="7">
        <v>34293.0</v>
      </c>
      <c r="I127" s="5" t="s">
        <v>156</v>
      </c>
      <c r="J127" s="8" t="s">
        <v>17</v>
      </c>
      <c r="K127" s="9">
        <v>226.0</v>
      </c>
      <c r="L127" s="10" t="s">
        <v>89</v>
      </c>
      <c r="M127" s="6" t="str">
        <f t="shared" si="1"/>
        <v/>
      </c>
    </row>
    <row r="128" ht="22.5" customHeight="1">
      <c r="A128" s="5">
        <f t="shared" si="2"/>
        <v>127</v>
      </c>
      <c r="B128" s="5" t="s">
        <v>328</v>
      </c>
      <c r="C128" s="5" t="s">
        <v>14</v>
      </c>
      <c r="D128" s="6" t="str">
        <f>IFERROR(__xludf.DUMMYFUNCTION("INDEX(IMPORTDATA(""https://raw.githubusercontent.com/lukes/ISO-3166-Countries-with-Regional-Codes/master/all/all.csv""), MATCH(C128, INDEX(IMPORTDATA(""https://raw.githubusercontent.com/lukes/ISO-3166-Countries-with-Regional-Codes/master/all/all.csv""), 0"&amp;", 1), 0), 2)"),"NP")</f>
        <v>NP</v>
      </c>
      <c r="E128" s="5">
        <v>9.765346808E9</v>
      </c>
      <c r="F128" s="5" t="s">
        <v>329</v>
      </c>
      <c r="G128" s="5">
        <v>7171664.0</v>
      </c>
      <c r="H128" s="7">
        <v>37857.0</v>
      </c>
      <c r="I128" s="5" t="s">
        <v>156</v>
      </c>
      <c r="J128" s="8" t="s">
        <v>17</v>
      </c>
      <c r="K128" s="9">
        <v>227.0</v>
      </c>
      <c r="L128" s="10" t="s">
        <v>35</v>
      </c>
      <c r="M128" s="6" t="str">
        <f t="shared" si="1"/>
        <v/>
      </c>
    </row>
    <row r="129" ht="22.5" customHeight="1">
      <c r="A129" s="5">
        <f t="shared" si="2"/>
        <v>128</v>
      </c>
      <c r="B129" s="5" t="s">
        <v>330</v>
      </c>
      <c r="C129" s="5" t="s">
        <v>14</v>
      </c>
      <c r="D129" s="6" t="str">
        <f>IFERROR(__xludf.DUMMYFUNCTION("INDEX(IMPORTDATA(""https://raw.githubusercontent.com/lukes/ISO-3166-Countries-with-Regional-Codes/master/all/all.csv""), MATCH(C129, INDEX(IMPORTDATA(""https://raw.githubusercontent.com/lukes/ISO-3166-Countries-with-Regional-Codes/master/all/all.csv""), 0"&amp;", 1), 0), 2)"),"NP")</f>
        <v>NP</v>
      </c>
      <c r="E129" s="5">
        <v>9.809641004E9</v>
      </c>
      <c r="F129" s="5" t="s">
        <v>331</v>
      </c>
      <c r="H129" s="7">
        <v>34752.0</v>
      </c>
      <c r="I129" s="5" t="s">
        <v>156</v>
      </c>
      <c r="J129" s="8" t="s">
        <v>17</v>
      </c>
      <c r="K129" s="9">
        <v>228.0</v>
      </c>
      <c r="L129" s="10" t="s">
        <v>35</v>
      </c>
      <c r="M129" s="6" t="str">
        <f t="shared" si="1"/>
        <v/>
      </c>
    </row>
    <row r="130" ht="22.5" customHeight="1">
      <c r="A130" s="5">
        <f t="shared" si="2"/>
        <v>129</v>
      </c>
      <c r="B130" s="5" t="s">
        <v>332</v>
      </c>
      <c r="C130" s="5" t="s">
        <v>14</v>
      </c>
      <c r="D130" s="6" t="str">
        <f>IFERROR(__xludf.DUMMYFUNCTION("INDEX(IMPORTDATA(""https://raw.githubusercontent.com/lukes/ISO-3166-Countries-with-Regional-Codes/master/all/all.csv""), MATCH(C130, INDEX(IMPORTDATA(""https://raw.githubusercontent.com/lukes/ISO-3166-Countries-with-Regional-Codes/master/all/all.csv""), 0"&amp;", 1), 0), 2)"),"NP")</f>
        <v>NP</v>
      </c>
      <c r="E130" s="5">
        <v>9.85108565E9</v>
      </c>
      <c r="F130" s="5" t="s">
        <v>333</v>
      </c>
      <c r="G130" s="5">
        <v>6348612.0</v>
      </c>
      <c r="H130" s="12">
        <v>27852.0</v>
      </c>
      <c r="I130" s="5" t="s">
        <v>156</v>
      </c>
      <c r="J130" s="8" t="s">
        <v>17</v>
      </c>
      <c r="K130" s="9">
        <v>229.0</v>
      </c>
      <c r="L130" s="10" t="s">
        <v>22</v>
      </c>
      <c r="M130" s="6" t="str">
        <f t="shared" si="1"/>
        <v/>
      </c>
    </row>
    <row r="131" ht="22.5" customHeight="1">
      <c r="A131" s="5">
        <f t="shared" si="2"/>
        <v>130</v>
      </c>
      <c r="B131" s="5" t="s">
        <v>334</v>
      </c>
      <c r="C131" s="5" t="s">
        <v>14</v>
      </c>
      <c r="D131" s="6" t="str">
        <f>IFERROR(__xludf.DUMMYFUNCTION("INDEX(IMPORTDATA(""https://raw.githubusercontent.com/lukes/ISO-3166-Countries-with-Regional-Codes/master/all/all.csv""), MATCH(C131, INDEX(IMPORTDATA(""https://raw.githubusercontent.com/lukes/ISO-3166-Countries-with-Regional-Codes/master/all/all.csv""), 0"&amp;", 1), 0), 2)"),"NP")</f>
        <v>NP</v>
      </c>
      <c r="E131" s="5">
        <v>9.851343115E9</v>
      </c>
      <c r="F131" s="5" t="s">
        <v>335</v>
      </c>
      <c r="G131" s="5">
        <v>6937038.0</v>
      </c>
      <c r="H131" s="7">
        <v>36485.0</v>
      </c>
      <c r="I131" s="5" t="s">
        <v>156</v>
      </c>
      <c r="J131" s="8" t="s">
        <v>17</v>
      </c>
      <c r="K131" s="9">
        <v>230.0</v>
      </c>
      <c r="L131" s="10" t="s">
        <v>35</v>
      </c>
      <c r="M131" s="6" t="str">
        <f t="shared" si="1"/>
        <v/>
      </c>
    </row>
    <row r="132" ht="22.5" customHeight="1">
      <c r="A132" s="5">
        <f t="shared" si="2"/>
        <v>131</v>
      </c>
      <c r="B132" s="5" t="s">
        <v>336</v>
      </c>
      <c r="C132" s="5" t="s">
        <v>14</v>
      </c>
      <c r="D132" s="6" t="str">
        <f>IFERROR(__xludf.DUMMYFUNCTION("INDEX(IMPORTDATA(""https://raw.githubusercontent.com/lukes/ISO-3166-Countries-with-Regional-Codes/master/all/all.csv""), MATCH(C132, INDEX(IMPORTDATA(""https://raw.githubusercontent.com/lukes/ISO-3166-Countries-with-Regional-Codes/master/all/all.csv""), 0"&amp;", 1), 0), 2)"),"NP")</f>
        <v>NP</v>
      </c>
      <c r="E132" s="5" t="s">
        <v>337</v>
      </c>
      <c r="F132" s="5" t="s">
        <v>338</v>
      </c>
      <c r="H132" s="7">
        <v>36784.0</v>
      </c>
      <c r="I132" s="5" t="s">
        <v>156</v>
      </c>
      <c r="J132" s="8" t="s">
        <v>17</v>
      </c>
      <c r="K132" s="9">
        <v>231.0</v>
      </c>
      <c r="L132" s="10" t="s">
        <v>35</v>
      </c>
      <c r="M132" s="6" t="str">
        <f t="shared" si="1"/>
        <v/>
      </c>
    </row>
    <row r="133" ht="22.5" customHeight="1">
      <c r="A133" s="5">
        <f t="shared" si="2"/>
        <v>132</v>
      </c>
      <c r="B133" s="5" t="s">
        <v>339</v>
      </c>
      <c r="C133" s="5" t="s">
        <v>14</v>
      </c>
      <c r="D133" s="6" t="str">
        <f>IFERROR(__xludf.DUMMYFUNCTION("INDEX(IMPORTDATA(""https://raw.githubusercontent.com/lukes/ISO-3166-Countries-with-Regional-Codes/master/all/all.csv""), MATCH(C133, INDEX(IMPORTDATA(""https://raw.githubusercontent.com/lukes/ISO-3166-Countries-with-Regional-Codes/master/all/all.csv""), 0"&amp;", 1), 0), 2)"),"NP")</f>
        <v>NP</v>
      </c>
      <c r="E133" s="5">
        <v>9.869836255E9</v>
      </c>
      <c r="F133" s="5" t="s">
        <v>340</v>
      </c>
      <c r="H133" s="7">
        <v>36642.0</v>
      </c>
      <c r="I133" s="5" t="s">
        <v>156</v>
      </c>
      <c r="J133" s="8" t="s">
        <v>17</v>
      </c>
      <c r="K133" s="9">
        <v>232.0</v>
      </c>
      <c r="L133" s="10" t="s">
        <v>35</v>
      </c>
      <c r="M133" s="6" t="str">
        <f t="shared" si="1"/>
        <v/>
      </c>
    </row>
    <row r="134" ht="22.5" customHeight="1">
      <c r="A134" s="5">
        <f t="shared" si="2"/>
        <v>133</v>
      </c>
      <c r="B134" s="5" t="s">
        <v>341</v>
      </c>
      <c r="C134" s="5" t="s">
        <v>14</v>
      </c>
      <c r="D134" s="6" t="str">
        <f>IFERROR(__xludf.DUMMYFUNCTION("INDEX(IMPORTDATA(""https://raw.githubusercontent.com/lukes/ISO-3166-Countries-with-Regional-Codes/master/all/all.csv""), MATCH(C134, INDEX(IMPORTDATA(""https://raw.githubusercontent.com/lukes/ISO-3166-Countries-with-Regional-Codes/master/all/all.csv""), 0"&amp;", 1), 0), 2)"),"NP")</f>
        <v>NP</v>
      </c>
      <c r="E134" s="5">
        <v>9.76179178E9</v>
      </c>
      <c r="F134" s="5" t="s">
        <v>342</v>
      </c>
      <c r="H134" s="7">
        <v>40025.0</v>
      </c>
      <c r="I134" s="5" t="s">
        <v>156</v>
      </c>
      <c r="J134" s="8" t="s">
        <v>17</v>
      </c>
      <c r="K134" s="9">
        <v>233.0</v>
      </c>
      <c r="L134" s="10" t="s">
        <v>18</v>
      </c>
      <c r="M134" s="6" t="str">
        <f t="shared" si="1"/>
        <v/>
      </c>
    </row>
    <row r="135" ht="22.5" customHeight="1">
      <c r="A135" s="5">
        <f t="shared" si="2"/>
        <v>134</v>
      </c>
      <c r="B135" s="5" t="s">
        <v>343</v>
      </c>
      <c r="C135" s="5" t="s">
        <v>14</v>
      </c>
      <c r="D135" s="6" t="str">
        <f>IFERROR(__xludf.DUMMYFUNCTION("INDEX(IMPORTDATA(""https://raw.githubusercontent.com/lukes/ISO-3166-Countries-with-Regional-Codes/master/all/all.csv""), MATCH(C135, INDEX(IMPORTDATA(""https://raw.githubusercontent.com/lukes/ISO-3166-Countries-with-Regional-Codes/master/all/all.csv""), 0"&amp;", 1), 0), 2)"),"NP")</f>
        <v>NP</v>
      </c>
      <c r="E135" s="5">
        <v>9.861290604E9</v>
      </c>
      <c r="F135" s="5" t="s">
        <v>344</v>
      </c>
      <c r="H135" s="7">
        <v>36429.0</v>
      </c>
      <c r="I135" s="5" t="s">
        <v>156</v>
      </c>
      <c r="J135" s="8" t="s">
        <v>17</v>
      </c>
      <c r="K135" s="9">
        <v>234.0</v>
      </c>
      <c r="L135" s="10" t="s">
        <v>35</v>
      </c>
      <c r="M135" s="6" t="str">
        <f t="shared" si="1"/>
        <v/>
      </c>
    </row>
    <row r="136" ht="22.5" customHeight="1">
      <c r="A136" s="5">
        <f t="shared" si="2"/>
        <v>135</v>
      </c>
      <c r="B136" s="5" t="s">
        <v>345</v>
      </c>
      <c r="C136" s="5" t="s">
        <v>14</v>
      </c>
      <c r="D136" s="6" t="str">
        <f>IFERROR(__xludf.DUMMYFUNCTION("INDEX(IMPORTDATA(""https://raw.githubusercontent.com/lukes/ISO-3166-Countries-with-Regional-Codes/master/all/all.csv""), MATCH(C136, INDEX(IMPORTDATA(""https://raw.githubusercontent.com/lukes/ISO-3166-Countries-with-Regional-Codes/master/all/all.csv""), 0"&amp;", 1), 0), 2)"),"NP")</f>
        <v>NP</v>
      </c>
      <c r="E136" s="5" t="s">
        <v>346</v>
      </c>
      <c r="F136" s="5" t="s">
        <v>347</v>
      </c>
      <c r="H136" s="7">
        <v>35936.0</v>
      </c>
      <c r="I136" s="5" t="s">
        <v>156</v>
      </c>
      <c r="J136" s="8" t="s">
        <v>17</v>
      </c>
      <c r="K136" s="9">
        <v>235.0</v>
      </c>
      <c r="L136" s="10" t="s">
        <v>89</v>
      </c>
      <c r="M136" s="6" t="str">
        <f t="shared" si="1"/>
        <v/>
      </c>
    </row>
    <row r="137" ht="22.5" customHeight="1">
      <c r="A137" s="5">
        <f t="shared" si="2"/>
        <v>136</v>
      </c>
      <c r="B137" s="5" t="s">
        <v>348</v>
      </c>
      <c r="C137" s="5" t="s">
        <v>14</v>
      </c>
      <c r="D137" s="6" t="str">
        <f>IFERROR(__xludf.DUMMYFUNCTION("INDEX(IMPORTDATA(""https://raw.githubusercontent.com/lukes/ISO-3166-Countries-with-Regional-Codes/master/all/all.csv""), MATCH(C137, INDEX(IMPORTDATA(""https://raw.githubusercontent.com/lukes/ISO-3166-Countries-with-Regional-Codes/master/all/all.csv""), 0"&amp;", 1), 0), 2)"),"NP")</f>
        <v>NP</v>
      </c>
      <c r="E137" s="5" t="s">
        <v>349</v>
      </c>
      <c r="F137" s="5" t="s">
        <v>350</v>
      </c>
      <c r="H137" s="7">
        <v>31441.0</v>
      </c>
      <c r="I137" s="5" t="s">
        <v>156</v>
      </c>
      <c r="J137" s="8" t="s">
        <v>17</v>
      </c>
      <c r="K137" s="9">
        <v>236.0</v>
      </c>
      <c r="L137" s="10" t="s">
        <v>35</v>
      </c>
      <c r="M137" s="6" t="str">
        <f t="shared" si="1"/>
        <v/>
      </c>
    </row>
    <row r="138" ht="22.5" customHeight="1">
      <c r="A138" s="5">
        <f t="shared" si="2"/>
        <v>137</v>
      </c>
      <c r="B138" s="5" t="s">
        <v>351</v>
      </c>
      <c r="C138" s="5" t="s">
        <v>14</v>
      </c>
      <c r="D138" s="6" t="str">
        <f>IFERROR(__xludf.DUMMYFUNCTION("INDEX(IMPORTDATA(""https://raw.githubusercontent.com/lukes/ISO-3166-Countries-with-Regional-Codes/master/all/all.csv""), MATCH(C138, INDEX(IMPORTDATA(""https://raw.githubusercontent.com/lukes/ISO-3166-Countries-with-Regional-Codes/master/all/all.csv""), 0"&amp;", 1), 0), 2)"),"NP")</f>
        <v>NP</v>
      </c>
      <c r="E138" s="5">
        <v>9.844288985E9</v>
      </c>
      <c r="F138" s="5" t="s">
        <v>352</v>
      </c>
      <c r="H138" s="12">
        <v>37045.0</v>
      </c>
      <c r="I138" s="5" t="s">
        <v>156</v>
      </c>
      <c r="J138" s="8" t="s">
        <v>17</v>
      </c>
      <c r="K138" s="9">
        <v>237.0</v>
      </c>
      <c r="L138" s="10" t="s">
        <v>89</v>
      </c>
      <c r="M138" s="6" t="str">
        <f t="shared" si="1"/>
        <v/>
      </c>
    </row>
    <row r="139" ht="22.5" customHeight="1">
      <c r="A139" s="5">
        <f t="shared" si="2"/>
        <v>138</v>
      </c>
      <c r="B139" s="5" t="s">
        <v>353</v>
      </c>
      <c r="C139" s="5" t="s">
        <v>14</v>
      </c>
      <c r="D139" s="6" t="str">
        <f>IFERROR(__xludf.DUMMYFUNCTION("INDEX(IMPORTDATA(""https://raw.githubusercontent.com/lukes/ISO-3166-Countries-with-Regional-Codes/master/all/all.csv""), MATCH(C139, INDEX(IMPORTDATA(""https://raw.githubusercontent.com/lukes/ISO-3166-Countries-with-Regional-Codes/master/all/all.csv""), 0"&amp;", 1), 0), 2)"),"NP")</f>
        <v>NP</v>
      </c>
      <c r="E139" s="5" t="s">
        <v>354</v>
      </c>
      <c r="F139" s="5" t="s">
        <v>355</v>
      </c>
      <c r="H139" s="12">
        <v>33458.0</v>
      </c>
      <c r="I139" s="5" t="s">
        <v>156</v>
      </c>
      <c r="J139" s="8" t="s">
        <v>17</v>
      </c>
      <c r="K139" s="9">
        <v>238.0</v>
      </c>
      <c r="L139" s="10" t="s">
        <v>22</v>
      </c>
      <c r="M139" s="6" t="str">
        <f t="shared" si="1"/>
        <v/>
      </c>
    </row>
    <row r="140" ht="22.5" customHeight="1">
      <c r="A140" s="5">
        <f t="shared" si="2"/>
        <v>139</v>
      </c>
      <c r="B140" s="5" t="s">
        <v>356</v>
      </c>
      <c r="C140" s="5" t="s">
        <v>14</v>
      </c>
      <c r="D140" s="6" t="str">
        <f>IFERROR(__xludf.DUMMYFUNCTION("INDEX(IMPORTDATA(""https://raw.githubusercontent.com/lukes/ISO-3166-Countries-with-Regional-Codes/master/all/all.csv""), MATCH(C140, INDEX(IMPORTDATA(""https://raw.githubusercontent.com/lukes/ISO-3166-Countries-with-Regional-Codes/master/all/all.csv""), 0"&amp;", 1), 0), 2)"),"NP")</f>
        <v>NP</v>
      </c>
      <c r="E140" s="5">
        <v>9.861879731E9</v>
      </c>
      <c r="F140" s="5" t="s">
        <v>357</v>
      </c>
      <c r="H140" s="7">
        <v>38403.0</v>
      </c>
      <c r="I140" s="5" t="s">
        <v>156</v>
      </c>
      <c r="J140" s="8" t="s">
        <v>17</v>
      </c>
      <c r="K140" s="9">
        <v>239.0</v>
      </c>
      <c r="L140" s="10" t="s">
        <v>18</v>
      </c>
      <c r="M140" s="6" t="str">
        <f t="shared" si="1"/>
        <v/>
      </c>
    </row>
    <row r="141" ht="22.5" customHeight="1">
      <c r="A141" s="5">
        <f t="shared" si="2"/>
        <v>140</v>
      </c>
      <c r="B141" s="5" t="s">
        <v>358</v>
      </c>
      <c r="C141" s="5" t="s">
        <v>14</v>
      </c>
      <c r="D141" s="6" t="str">
        <f>IFERROR(__xludf.DUMMYFUNCTION("INDEX(IMPORTDATA(""https://raw.githubusercontent.com/lukes/ISO-3166-Countries-with-Regional-Codes/master/all/all.csv""), MATCH(C141, INDEX(IMPORTDATA(""https://raw.githubusercontent.com/lukes/ISO-3166-Countries-with-Regional-Codes/master/all/all.csv""), 0"&amp;", 1), 0), 2)"),"NP")</f>
        <v>NP</v>
      </c>
      <c r="E141" s="5">
        <v>9.844820933E9</v>
      </c>
      <c r="F141" s="5" t="s">
        <v>359</v>
      </c>
      <c r="H141" s="7">
        <v>36269.0</v>
      </c>
      <c r="I141" s="5" t="s">
        <v>156</v>
      </c>
      <c r="J141" s="8" t="s">
        <v>17</v>
      </c>
      <c r="K141" s="9">
        <v>240.0</v>
      </c>
      <c r="L141" s="10" t="s">
        <v>35</v>
      </c>
      <c r="M141" s="6" t="str">
        <f t="shared" si="1"/>
        <v/>
      </c>
    </row>
    <row r="142" ht="22.5" customHeight="1">
      <c r="A142" s="5">
        <f t="shared" si="2"/>
        <v>141</v>
      </c>
      <c r="B142" s="5" t="s">
        <v>360</v>
      </c>
      <c r="C142" s="5" t="s">
        <v>14</v>
      </c>
      <c r="D142" s="6" t="str">
        <f>IFERROR(__xludf.DUMMYFUNCTION("INDEX(IMPORTDATA(""https://raw.githubusercontent.com/lukes/ISO-3166-Countries-with-Regional-Codes/master/all/all.csv""), MATCH(C142, INDEX(IMPORTDATA(""https://raw.githubusercontent.com/lukes/ISO-3166-Countries-with-Regional-Codes/master/all/all.csv""), 0"&amp;", 1), 0), 2)"),"NP")</f>
        <v>NP</v>
      </c>
      <c r="E142" s="5">
        <v>9.745463926E9</v>
      </c>
      <c r="F142" s="5" t="s">
        <v>361</v>
      </c>
      <c r="H142" s="12">
        <v>38326.0</v>
      </c>
      <c r="I142" s="5" t="s">
        <v>156</v>
      </c>
      <c r="J142" s="8" t="s">
        <v>17</v>
      </c>
      <c r="K142" s="9">
        <v>241.0</v>
      </c>
      <c r="L142" s="10" t="s">
        <v>35</v>
      </c>
      <c r="M142" s="6" t="str">
        <f t="shared" si="1"/>
        <v/>
      </c>
    </row>
    <row r="143" ht="22.5" customHeight="1">
      <c r="A143" s="5">
        <f t="shared" si="2"/>
        <v>142</v>
      </c>
      <c r="B143" s="5" t="s">
        <v>362</v>
      </c>
      <c r="C143" s="5" t="s">
        <v>134</v>
      </c>
      <c r="D143" s="6" t="str">
        <f>IFERROR(__xludf.DUMMYFUNCTION("INDEX(IMPORTDATA(""https://raw.githubusercontent.com/lukes/ISO-3166-Countries-with-Regional-Codes/master/all/all.csv""), MATCH(C143, INDEX(IMPORTDATA(""https://raw.githubusercontent.com/lukes/ISO-3166-Countries-with-Regional-Codes/master/all/all.csv""), 0"&amp;", 1), 0), 2)"),"AT")</f>
        <v>AT</v>
      </c>
      <c r="E143" s="5" t="s">
        <v>363</v>
      </c>
      <c r="F143" s="5" t="s">
        <v>364</v>
      </c>
      <c r="H143" s="7">
        <v>29220.0</v>
      </c>
      <c r="I143" s="5" t="s">
        <v>156</v>
      </c>
      <c r="J143" s="8" t="s">
        <v>17</v>
      </c>
      <c r="K143" s="9">
        <v>242.0</v>
      </c>
      <c r="L143" s="10" t="s">
        <v>35</v>
      </c>
      <c r="M143" s="6" t="str">
        <f t="shared" si="1"/>
        <v/>
      </c>
    </row>
    <row r="144" ht="22.5" customHeight="1">
      <c r="A144" s="5">
        <f t="shared" si="2"/>
        <v>143</v>
      </c>
      <c r="B144" s="5" t="s">
        <v>365</v>
      </c>
      <c r="C144" s="5" t="s">
        <v>366</v>
      </c>
      <c r="D144" s="6" t="str">
        <f>IFERROR(__xludf.DUMMYFUNCTION("INDEX(IMPORTDATA(""https://raw.githubusercontent.com/lukes/ISO-3166-Countries-with-Regional-Codes/master/all/all.csv""), MATCH(C144, INDEX(IMPORTDATA(""https://raw.githubusercontent.com/lukes/ISO-3166-Countries-with-Regional-Codes/master/all/all.csv""), 0"&amp;", 1), 0), 2)"),"IN")</f>
        <v>IN</v>
      </c>
      <c r="E144" s="5">
        <v>9.851107008E9</v>
      </c>
      <c r="F144" s="5" t="s">
        <v>367</v>
      </c>
      <c r="H144" s="7">
        <v>33531.0</v>
      </c>
      <c r="I144" s="5" t="s">
        <v>156</v>
      </c>
      <c r="J144" s="8" t="s">
        <v>17</v>
      </c>
      <c r="K144" s="9">
        <v>243.0</v>
      </c>
      <c r="L144" s="10" t="s">
        <v>22</v>
      </c>
      <c r="M144" s="6" t="str">
        <f t="shared" si="1"/>
        <v/>
      </c>
    </row>
    <row r="145" ht="22.5" customHeight="1">
      <c r="A145" s="5">
        <f t="shared" si="2"/>
        <v>144</v>
      </c>
      <c r="B145" s="5" t="s">
        <v>368</v>
      </c>
      <c r="C145" s="5" t="s">
        <v>366</v>
      </c>
      <c r="D145" s="6" t="str">
        <f>IFERROR(__xludf.DUMMYFUNCTION("INDEX(IMPORTDATA(""https://raw.githubusercontent.com/lukes/ISO-3166-Countries-with-Regional-Codes/master/all/all.csv""), MATCH(C145, INDEX(IMPORTDATA(""https://raw.githubusercontent.com/lukes/ISO-3166-Countries-with-Regional-Codes/master/all/all.csv""), 0"&amp;", 1), 0), 2)"),"IN")</f>
        <v>IN</v>
      </c>
      <c r="E145" s="5" t="s">
        <v>369</v>
      </c>
      <c r="F145" s="5" t="s">
        <v>370</v>
      </c>
      <c r="H145" s="7">
        <v>33647.0</v>
      </c>
      <c r="I145" s="5" t="s">
        <v>156</v>
      </c>
      <c r="J145" s="8" t="s">
        <v>17</v>
      </c>
      <c r="K145" s="9">
        <v>244.0</v>
      </c>
      <c r="L145" s="10" t="s">
        <v>29</v>
      </c>
      <c r="M145" s="6" t="str">
        <f t="shared" si="1"/>
        <v/>
      </c>
    </row>
    <row r="146" ht="22.5" customHeight="1">
      <c r="A146" s="5">
        <f t="shared" si="2"/>
        <v>145</v>
      </c>
      <c r="B146" s="5" t="s">
        <v>371</v>
      </c>
      <c r="C146" s="5" t="s">
        <v>372</v>
      </c>
      <c r="D146" s="6" t="str">
        <f>IFERROR(__xludf.DUMMYFUNCTION("INDEX(IMPORTDATA(""https://raw.githubusercontent.com/lukes/ISO-3166-Countries-with-Regional-Codes/master/all/all.csv""), MATCH(C146, INDEX(IMPORTDATA(""https://raw.githubusercontent.com/lukes/ISO-3166-Countries-with-Regional-Codes/master/all/all.csv""), 0"&amp;", 1), 0), 2)"),"NO")</f>
        <v>NO</v>
      </c>
      <c r="E146" s="5" t="s">
        <v>373</v>
      </c>
      <c r="F146" s="5" t="s">
        <v>374</v>
      </c>
      <c r="H146" s="7">
        <v>36969.0</v>
      </c>
      <c r="I146" s="5" t="s">
        <v>156</v>
      </c>
      <c r="J146" s="8" t="s">
        <v>17</v>
      </c>
      <c r="K146" s="9">
        <v>245.0</v>
      </c>
      <c r="L146" s="10" t="s">
        <v>18</v>
      </c>
      <c r="M146" s="6" t="str">
        <f t="shared" si="1"/>
        <v/>
      </c>
    </row>
    <row r="147" ht="22.5" customHeight="1">
      <c r="A147" s="5">
        <f t="shared" si="2"/>
        <v>146</v>
      </c>
      <c r="B147" s="5" t="s">
        <v>375</v>
      </c>
      <c r="C147" s="5" t="s">
        <v>376</v>
      </c>
      <c r="D147" s="6" t="str">
        <f>IFERROR(__xludf.DUMMYFUNCTION("INDEX(IMPORTDATA(""https://raw.githubusercontent.com/lukes/ISO-3166-Countries-with-Regional-Codes/master/all/all.csv""), MATCH(C147, INDEX(IMPORTDATA(""https://raw.githubusercontent.com/lukes/ISO-3166-Countries-with-Regional-Codes/master/all/all.csv""), 0"&amp;", 1), 0), 2)"),"CH")</f>
        <v>CH</v>
      </c>
      <c r="E147" s="5" t="s">
        <v>377</v>
      </c>
      <c r="F147" s="5" t="s">
        <v>378</v>
      </c>
      <c r="H147" s="12">
        <v>36412.0</v>
      </c>
      <c r="I147" s="5" t="s">
        <v>156</v>
      </c>
      <c r="J147" s="8" t="s">
        <v>17</v>
      </c>
      <c r="K147" s="9">
        <v>246.0</v>
      </c>
      <c r="L147" s="10" t="s">
        <v>35</v>
      </c>
      <c r="M147" s="6" t="str">
        <f t="shared" si="1"/>
        <v/>
      </c>
    </row>
    <row r="148" ht="22.5" customHeight="1">
      <c r="A148" s="5">
        <f t="shared" si="2"/>
        <v>147</v>
      </c>
      <c r="B148" s="5" t="s">
        <v>379</v>
      </c>
      <c r="C148" s="5" t="s">
        <v>380</v>
      </c>
      <c r="D148" s="6" t="str">
        <f>IFERROR(__xludf.DUMMYFUNCTION("INDEX(IMPORTDATA(""https://raw.githubusercontent.com/lukes/ISO-3166-Countries-with-Regional-Codes/master/all/all.csv""), MATCH(C148, INDEX(IMPORTDATA(""https://raw.githubusercontent.com/lukes/ISO-3166-Countries-with-Regional-Codes/master/all/all.csv""), 0"&amp;", 1), 0), 2)"),"TH")</f>
        <v>TH</v>
      </c>
      <c r="E148" s="5" t="s">
        <v>381</v>
      </c>
      <c r="F148" s="5" t="s">
        <v>382</v>
      </c>
      <c r="G148" s="5">
        <v>4780916.0</v>
      </c>
      <c r="H148" s="12">
        <v>29953.0</v>
      </c>
      <c r="I148" s="5" t="s">
        <v>156</v>
      </c>
      <c r="J148" s="8" t="s">
        <v>17</v>
      </c>
      <c r="K148" s="9">
        <v>247.0</v>
      </c>
      <c r="L148" s="10" t="s">
        <v>89</v>
      </c>
      <c r="M148" s="6" t="str">
        <f t="shared" si="1"/>
        <v/>
      </c>
    </row>
    <row r="149" ht="22.5" customHeight="1">
      <c r="A149" s="5">
        <f t="shared" si="2"/>
        <v>148</v>
      </c>
      <c r="B149" s="14" t="s">
        <v>383</v>
      </c>
      <c r="C149" s="14" t="s">
        <v>14</v>
      </c>
      <c r="D149" s="6" t="str">
        <f>IFERROR(__xludf.DUMMYFUNCTION("INDEX(IMPORTDATA(""https://raw.githubusercontent.com/lukes/ISO-3166-Countries-with-Regional-Codes/master/all/all.csv""), MATCH(C149, INDEX(IMPORTDATA(""https://raw.githubusercontent.com/lukes/ISO-3166-Countries-with-Regional-Codes/master/all/all.csv""), 0"&amp;", 1), 0), 2)"),"NP")</f>
        <v>NP</v>
      </c>
      <c r="E149" s="5" t="s">
        <v>301</v>
      </c>
      <c r="F149" s="5" t="s">
        <v>384</v>
      </c>
      <c r="G149" s="5"/>
      <c r="H149" s="12">
        <v>24997.0</v>
      </c>
      <c r="I149" s="5" t="s">
        <v>156</v>
      </c>
      <c r="J149" s="8" t="s">
        <v>17</v>
      </c>
      <c r="K149" s="9">
        <v>249.0</v>
      </c>
      <c r="L149" s="10" t="s">
        <v>89</v>
      </c>
      <c r="M149" s="6" t="str">
        <f t="shared" si="1"/>
        <v/>
      </c>
    </row>
    <row r="150" ht="22.5" customHeight="1">
      <c r="A150" s="5">
        <f t="shared" si="2"/>
        <v>149</v>
      </c>
      <c r="B150" s="5" t="s">
        <v>385</v>
      </c>
      <c r="C150" s="5" t="s">
        <v>14</v>
      </c>
      <c r="D150" s="6" t="str">
        <f>IFERROR(__xludf.DUMMYFUNCTION("INDEX(IMPORTDATA(""https://raw.githubusercontent.com/lukes/ISO-3166-Countries-with-Regional-Codes/master/all/all.csv""), MATCH(C150, INDEX(IMPORTDATA(""https://raw.githubusercontent.com/lukes/ISO-3166-Countries-with-Regional-Codes/master/all/all.csv""), 0"&amp;", 1), 0), 2)"),"NP")</f>
        <v>NP</v>
      </c>
      <c r="E150" s="5" t="s">
        <v>386</v>
      </c>
      <c r="F150" s="5" t="s">
        <v>387</v>
      </c>
      <c r="G150" s="5"/>
      <c r="H150" s="12">
        <v>24997.0</v>
      </c>
      <c r="I150" s="5" t="s">
        <v>156</v>
      </c>
      <c r="J150" s="8" t="s">
        <v>17</v>
      </c>
      <c r="K150" s="9">
        <v>250.0</v>
      </c>
      <c r="L150" s="10" t="s">
        <v>35</v>
      </c>
      <c r="M150" s="6" t="str">
        <f t="shared" si="1"/>
        <v/>
      </c>
    </row>
    <row r="151" ht="22.5" customHeight="1">
      <c r="A151" s="5">
        <f t="shared" si="2"/>
        <v>150</v>
      </c>
      <c r="B151" s="5" t="s">
        <v>388</v>
      </c>
      <c r="C151" s="5" t="s">
        <v>14</v>
      </c>
      <c r="D151" s="6" t="str">
        <f>IFERROR(__xludf.DUMMYFUNCTION("INDEX(IMPORTDATA(""https://raw.githubusercontent.com/lukes/ISO-3166-Countries-with-Regional-Codes/master/all/all.csv""), MATCH(C151, INDEX(IMPORTDATA(""https://raw.githubusercontent.com/lukes/ISO-3166-Countries-with-Regional-Codes/master/all/all.csv""), 0"&amp;", 1), 0), 2)"),"NP")</f>
        <v>NP</v>
      </c>
      <c r="E151" s="5">
        <v>9.705535139E9</v>
      </c>
      <c r="F151" s="5" t="s">
        <v>389</v>
      </c>
      <c r="G151" s="5"/>
      <c r="H151" s="12">
        <v>35987.0</v>
      </c>
      <c r="I151" s="5" t="s">
        <v>156</v>
      </c>
      <c r="J151" s="8" t="s">
        <v>17</v>
      </c>
      <c r="K151" s="9">
        <v>251.0</v>
      </c>
      <c r="L151" s="10" t="s">
        <v>18</v>
      </c>
      <c r="M151" s="6" t="str">
        <f t="shared" si="1"/>
        <v/>
      </c>
    </row>
    <row r="152" ht="22.5" customHeight="1">
      <c r="A152" s="5">
        <f t="shared" si="2"/>
        <v>151</v>
      </c>
      <c r="B152" s="5" t="s">
        <v>390</v>
      </c>
      <c r="C152" s="5" t="s">
        <v>14</v>
      </c>
      <c r="D152" s="6" t="str">
        <f>IFERROR(__xludf.DUMMYFUNCTION("INDEX(IMPORTDATA(""https://raw.githubusercontent.com/lukes/ISO-3166-Countries-with-Regional-Codes/master/all/all.csv""), MATCH(C152, INDEX(IMPORTDATA(""https://raw.githubusercontent.com/lukes/ISO-3166-Countries-with-Regional-Codes/master/all/all.csv""), 0"&amp;", 1), 0), 2)"),"NP")</f>
        <v>NP</v>
      </c>
      <c r="E152" s="5">
        <v>9.80827844E9</v>
      </c>
      <c r="F152" s="5" t="s">
        <v>391</v>
      </c>
      <c r="G152" s="5"/>
      <c r="H152" s="12">
        <v>46357.0</v>
      </c>
      <c r="I152" s="5" t="s">
        <v>156</v>
      </c>
      <c r="J152" s="8" t="s">
        <v>17</v>
      </c>
      <c r="K152" s="9">
        <v>252.0</v>
      </c>
      <c r="L152" s="10" t="s">
        <v>18</v>
      </c>
      <c r="M152" s="6" t="str">
        <f t="shared" si="1"/>
        <v/>
      </c>
    </row>
    <row r="153" ht="22.5" customHeight="1">
      <c r="A153" s="5">
        <f t="shared" si="2"/>
        <v>152</v>
      </c>
      <c r="B153" s="5" t="s">
        <v>392</v>
      </c>
      <c r="C153" s="5" t="s">
        <v>14</v>
      </c>
      <c r="D153" s="6" t="str">
        <f>IFERROR(__xludf.DUMMYFUNCTION("INDEX(IMPORTDATA(""https://raw.githubusercontent.com/lukes/ISO-3166-Countries-with-Regional-Codes/master/all/all.csv""), MATCH(C153, INDEX(IMPORTDATA(""https://raw.githubusercontent.com/lukes/ISO-3166-Countries-with-Regional-Codes/master/all/all.csv""), 0"&amp;", 1), 0), 2)"),"NP")</f>
        <v>NP</v>
      </c>
      <c r="E153" s="5">
        <v>9.813677087E9</v>
      </c>
      <c r="F153" s="5" t="s">
        <v>393</v>
      </c>
      <c r="G153" s="5"/>
      <c r="H153" s="7">
        <v>36456.0</v>
      </c>
      <c r="I153" s="5" t="s">
        <v>16</v>
      </c>
      <c r="J153" s="8" t="s">
        <v>17</v>
      </c>
      <c r="K153" s="9">
        <v>253.0</v>
      </c>
      <c r="L153" s="10" t="s">
        <v>29</v>
      </c>
      <c r="M153" s="6" t="str">
        <f t="shared" si="1"/>
        <v/>
      </c>
    </row>
    <row r="154" ht="22.5" customHeight="1">
      <c r="A154" s="5">
        <f t="shared" si="2"/>
        <v>153</v>
      </c>
      <c r="B154" s="5" t="s">
        <v>394</v>
      </c>
      <c r="C154" s="5" t="s">
        <v>14</v>
      </c>
      <c r="D154" s="6" t="str">
        <f>IFERROR(__xludf.DUMMYFUNCTION("INDEX(IMPORTDATA(""https://raw.githubusercontent.com/lukes/ISO-3166-Countries-with-Regional-Codes/master/all/all.csv""), MATCH(C154, INDEX(IMPORTDATA(""https://raw.githubusercontent.com/lukes/ISO-3166-Countries-with-Regional-Codes/master/all/all.csv""), 0"&amp;", 1), 0), 2)"),"NP")</f>
        <v>NP</v>
      </c>
      <c r="E154" s="5" t="s">
        <v>395</v>
      </c>
      <c r="F154" s="5" t="s">
        <v>396</v>
      </c>
      <c r="G154" s="5"/>
      <c r="H154" s="12">
        <v>39052.0</v>
      </c>
      <c r="I154" s="5" t="s">
        <v>156</v>
      </c>
      <c r="J154" s="8" t="s">
        <v>17</v>
      </c>
      <c r="K154" s="9">
        <v>254.0</v>
      </c>
      <c r="L154" s="10" t="s">
        <v>18</v>
      </c>
      <c r="M154" s="6" t="str">
        <f t="shared" si="1"/>
        <v/>
      </c>
    </row>
    <row r="155" ht="22.5" customHeight="1">
      <c r="A155" s="5">
        <f t="shared" si="2"/>
        <v>154</v>
      </c>
      <c r="B155" s="5" t="s">
        <v>397</v>
      </c>
      <c r="C155" s="5" t="s">
        <v>14</v>
      </c>
      <c r="D155" s="6" t="str">
        <f>IFERROR(__xludf.DUMMYFUNCTION("INDEX(IMPORTDATA(""https://raw.githubusercontent.com/lukes/ISO-3166-Countries-with-Regional-Codes/master/all/all.csv""), MATCH(C155, INDEX(IMPORTDATA(""https://raw.githubusercontent.com/lukes/ISO-3166-Countries-with-Regional-Codes/master/all/all.csv""), 0"&amp;", 1), 0), 2)"),"NP")</f>
        <v>NP</v>
      </c>
      <c r="E155" s="5">
        <v>9.779713761646E12</v>
      </c>
      <c r="F155" s="5" t="s">
        <v>398</v>
      </c>
      <c r="G155" s="5">
        <v>5858141.0</v>
      </c>
      <c r="H155" s="12">
        <v>30445.0</v>
      </c>
      <c r="I155" s="5" t="s">
        <v>16</v>
      </c>
      <c r="J155" s="8" t="s">
        <v>17</v>
      </c>
      <c r="K155" s="9">
        <v>255.0</v>
      </c>
      <c r="L155" s="10" t="s">
        <v>29</v>
      </c>
      <c r="M155" s="6" t="str">
        <f t="shared" si="1"/>
        <v/>
      </c>
    </row>
    <row r="156" ht="22.5" customHeight="1">
      <c r="A156" s="5">
        <f t="shared" si="2"/>
        <v>155</v>
      </c>
      <c r="B156" s="5" t="s">
        <v>399</v>
      </c>
      <c r="C156" s="5" t="s">
        <v>14</v>
      </c>
      <c r="D156" s="6" t="str">
        <f>IFERROR(__xludf.DUMMYFUNCTION("INDEX(IMPORTDATA(""https://raw.githubusercontent.com/lukes/ISO-3166-Countries-with-Regional-Codes/master/all/all.csv""), MATCH(C156, INDEX(IMPORTDATA(""https://raw.githubusercontent.com/lukes/ISO-3166-Countries-with-Regional-Codes/master/all/all.csv""), 0"&amp;", 1), 0), 2)"),"NP")</f>
        <v>NP</v>
      </c>
      <c r="E156" s="5" t="s">
        <v>400</v>
      </c>
      <c r="F156" s="5" t="s">
        <v>401</v>
      </c>
      <c r="G156" s="5"/>
      <c r="H156" s="7">
        <v>37578.0</v>
      </c>
      <c r="I156" s="5" t="s">
        <v>156</v>
      </c>
      <c r="J156" s="8" t="s">
        <v>17</v>
      </c>
      <c r="K156" s="9">
        <v>256.0</v>
      </c>
      <c r="L156" s="10" t="s">
        <v>89</v>
      </c>
      <c r="M156" s="6" t="str">
        <f t="shared" si="1"/>
        <v/>
      </c>
    </row>
    <row r="157" ht="22.5" customHeight="1">
      <c r="A157" s="5">
        <f t="shared" si="2"/>
        <v>156</v>
      </c>
      <c r="B157" s="5" t="s">
        <v>402</v>
      </c>
      <c r="C157" s="5" t="s">
        <v>14</v>
      </c>
      <c r="D157" s="6" t="str">
        <f>IFERROR(__xludf.DUMMYFUNCTION("INDEX(IMPORTDATA(""https://raw.githubusercontent.com/lukes/ISO-3166-Countries-with-Regional-Codes/master/all/all.csv""), MATCH(C157, INDEX(IMPORTDATA(""https://raw.githubusercontent.com/lukes/ISO-3166-Countries-with-Regional-Codes/master/all/all.csv""), 0"&amp;", 1), 0), 2)"),"NP")</f>
        <v>NP</v>
      </c>
      <c r="E157" s="5">
        <v>9.841560974E9</v>
      </c>
      <c r="F157" s="5" t="s">
        <v>403</v>
      </c>
      <c r="G157" s="5"/>
      <c r="H157" s="7">
        <v>26781.0</v>
      </c>
      <c r="I157" s="5" t="s">
        <v>156</v>
      </c>
      <c r="J157" s="8" t="s">
        <v>17</v>
      </c>
      <c r="K157" s="9">
        <v>257.0</v>
      </c>
      <c r="L157" s="10" t="s">
        <v>18</v>
      </c>
      <c r="M157" s="6" t="str">
        <f t="shared" si="1"/>
        <v/>
      </c>
    </row>
    <row r="158" ht="22.5" customHeight="1">
      <c r="A158" s="5">
        <f t="shared" si="2"/>
        <v>157</v>
      </c>
      <c r="B158" s="5" t="s">
        <v>404</v>
      </c>
      <c r="C158" s="5" t="s">
        <v>14</v>
      </c>
      <c r="D158" s="6" t="str">
        <f>IFERROR(__xludf.DUMMYFUNCTION("INDEX(IMPORTDATA(""https://raw.githubusercontent.com/lukes/ISO-3166-Countries-with-Regional-Codes/master/all/all.csv""), MATCH(C158, INDEX(IMPORTDATA(""https://raw.githubusercontent.com/lukes/ISO-3166-Countries-with-Regional-Codes/master/all/all.csv""), 0"&amp;", 1), 0), 2)"),"NP")</f>
        <v>NP</v>
      </c>
      <c r="E158" s="5" t="s">
        <v>405</v>
      </c>
      <c r="F158" s="5" t="s">
        <v>406</v>
      </c>
      <c r="G158" s="5"/>
      <c r="H158" s="12">
        <v>29353.0</v>
      </c>
      <c r="I158" s="5" t="s">
        <v>156</v>
      </c>
      <c r="J158" s="8" t="s">
        <v>17</v>
      </c>
      <c r="K158" s="9">
        <v>258.0</v>
      </c>
      <c r="L158" s="10" t="s">
        <v>89</v>
      </c>
      <c r="M158" s="6" t="str">
        <f t="shared" si="1"/>
        <v/>
      </c>
    </row>
    <row r="159" ht="22.5" customHeight="1">
      <c r="A159" s="5">
        <f t="shared" si="2"/>
        <v>158</v>
      </c>
      <c r="B159" s="5" t="s">
        <v>407</v>
      </c>
      <c r="C159" s="5" t="s">
        <v>14</v>
      </c>
      <c r="D159" s="6" t="str">
        <f>IFERROR(__xludf.DUMMYFUNCTION("INDEX(IMPORTDATA(""https://raw.githubusercontent.com/lukes/ISO-3166-Countries-with-Regional-Codes/master/all/all.csv""), MATCH(C159, INDEX(IMPORTDATA(""https://raw.githubusercontent.com/lukes/ISO-3166-Countries-with-Regional-Codes/master/all/all.csv""), 0"&amp;", 1), 0), 2)"),"NP")</f>
        <v>NP</v>
      </c>
      <c r="E159" s="5">
        <v>9.851078369E9</v>
      </c>
      <c r="F159" s="5" t="s">
        <v>55</v>
      </c>
      <c r="H159" s="12">
        <v>26856.0</v>
      </c>
      <c r="I159" s="5" t="s">
        <v>156</v>
      </c>
      <c r="J159" s="8" t="s">
        <v>17</v>
      </c>
      <c r="K159" s="9">
        <v>259.0</v>
      </c>
      <c r="L159" s="10" t="s">
        <v>56</v>
      </c>
      <c r="M159" s="6" t="str">
        <f t="shared" si="1"/>
        <v/>
      </c>
    </row>
    <row r="160" ht="22.5" customHeight="1">
      <c r="A160" s="5">
        <f t="shared" si="2"/>
        <v>159</v>
      </c>
      <c r="B160" s="5" t="s">
        <v>408</v>
      </c>
      <c r="C160" s="5" t="s">
        <v>14</v>
      </c>
      <c r="D160" s="5" t="s">
        <v>409</v>
      </c>
      <c r="E160" s="5">
        <v>9.866193321E9</v>
      </c>
      <c r="F160" s="5" t="s">
        <v>61</v>
      </c>
      <c r="H160" s="12">
        <v>6646915.0</v>
      </c>
      <c r="I160" s="5" t="s">
        <v>156</v>
      </c>
      <c r="J160" s="8" t="s">
        <v>17</v>
      </c>
      <c r="K160" s="9">
        <v>260.0</v>
      </c>
      <c r="L160" s="15" t="s">
        <v>35</v>
      </c>
      <c r="M160" s="6" t="str">
        <f t="shared" si="1"/>
        <v/>
      </c>
    </row>
    <row r="161" ht="22.5" customHeight="1">
      <c r="A161" s="5">
        <f t="shared" si="2"/>
        <v>160</v>
      </c>
      <c r="B161" s="5" t="s">
        <v>410</v>
      </c>
      <c r="C161" s="5" t="s">
        <v>147</v>
      </c>
      <c r="D161" s="5" t="s">
        <v>411</v>
      </c>
      <c r="E161" s="5" t="s">
        <v>412</v>
      </c>
      <c r="F161" s="5"/>
      <c r="H161" s="12"/>
      <c r="I161" s="5" t="s">
        <v>16</v>
      </c>
      <c r="J161" s="8" t="s">
        <v>17</v>
      </c>
      <c r="K161" s="9">
        <v>261.0</v>
      </c>
      <c r="L161" s="15" t="s">
        <v>35</v>
      </c>
      <c r="M161" s="6" t="str">
        <f t="shared" si="1"/>
        <v/>
      </c>
    </row>
    <row r="162" ht="22.5" customHeight="1">
      <c r="A162" s="5">
        <f t="shared" si="2"/>
        <v>161</v>
      </c>
      <c r="B162" s="5" t="s">
        <v>413</v>
      </c>
      <c r="C162" s="5" t="s">
        <v>14</v>
      </c>
      <c r="D162" s="5" t="s">
        <v>409</v>
      </c>
      <c r="E162" s="5">
        <v>9.808498378E9</v>
      </c>
      <c r="F162" s="5" t="s">
        <v>414</v>
      </c>
      <c r="H162" s="12">
        <v>33100.0</v>
      </c>
      <c r="I162" s="5" t="s">
        <v>156</v>
      </c>
      <c r="J162" s="8" t="s">
        <v>17</v>
      </c>
      <c r="K162" s="9">
        <v>262.0</v>
      </c>
      <c r="L162" s="15" t="s">
        <v>56</v>
      </c>
      <c r="M162" s="6" t="str">
        <f t="shared" si="1"/>
        <v/>
      </c>
    </row>
    <row r="163" ht="22.5" customHeight="1">
      <c r="A163" s="5">
        <f t="shared" si="2"/>
        <v>162</v>
      </c>
      <c r="B163" s="5" t="s">
        <v>415</v>
      </c>
      <c r="C163" s="5" t="s">
        <v>14</v>
      </c>
      <c r="D163" s="5" t="s">
        <v>409</v>
      </c>
      <c r="E163" s="5">
        <v>9.823013138E9</v>
      </c>
      <c r="F163" s="5" t="s">
        <v>416</v>
      </c>
      <c r="H163" s="12">
        <v>34917.0</v>
      </c>
      <c r="I163" s="5" t="s">
        <v>156</v>
      </c>
      <c r="J163" s="8" t="s">
        <v>17</v>
      </c>
      <c r="K163" s="9">
        <v>263.0</v>
      </c>
      <c r="L163" s="15" t="s">
        <v>89</v>
      </c>
      <c r="M163" s="6" t="str">
        <f t="shared" si="1"/>
        <v/>
      </c>
    </row>
    <row r="164" ht="22.5" customHeight="1">
      <c r="A164" s="5">
        <f>A160+1</f>
        <v>160</v>
      </c>
      <c r="B164" s="15" t="s">
        <v>417</v>
      </c>
      <c r="C164" s="15" t="s">
        <v>14</v>
      </c>
      <c r="D164" s="10" t="str">
        <f>IFERROR(__xludf.DUMMYFUNCTION("INDEX(IMPORTDATA(""https://raw.githubusercontent.com/lukes/ISO-3166-Countries-with-Regional-Codes/master/all/all.csv""), MATCH(C164, INDEX(IMPORTDATA(""https://raw.githubusercontent.com/lukes/ISO-3166-Countries-with-Regional-Codes/master/all/all.csv""), 0"&amp;", 1), 0), 2)"),"NP")</f>
        <v>NP</v>
      </c>
      <c r="E164" s="15">
        <v>9.842397094E9</v>
      </c>
      <c r="F164" s="15" t="s">
        <v>418</v>
      </c>
      <c r="G164" s="16"/>
      <c r="H164" s="17">
        <v>31344.0</v>
      </c>
      <c r="I164" s="15" t="s">
        <v>156</v>
      </c>
      <c r="J164" s="18" t="s">
        <v>39</v>
      </c>
      <c r="K164" s="19">
        <v>301.0</v>
      </c>
      <c r="L164" s="15" t="s">
        <v>22</v>
      </c>
      <c r="M164" s="6" t="str">
        <f t="shared" si="1"/>
        <v/>
      </c>
    </row>
    <row r="165" ht="22.5" customHeight="1">
      <c r="A165" s="5">
        <f t="shared" ref="A165:A495" si="3">A164+1</f>
        <v>161</v>
      </c>
      <c r="B165" s="5" t="s">
        <v>419</v>
      </c>
      <c r="C165" s="5" t="s">
        <v>372</v>
      </c>
      <c r="D165" s="6" t="str">
        <f>IFERROR(__xludf.DUMMYFUNCTION("INDEX(IMPORTDATA(""https://raw.githubusercontent.com/lukes/ISO-3166-Countries-with-Regional-Codes/master/all/all.csv""), MATCH(C165, INDEX(IMPORTDATA(""https://raw.githubusercontent.com/lukes/ISO-3166-Countries-with-Regional-Codes/master/all/all.csv""), 0"&amp;", 1), 0), 2)"),"NO")</f>
        <v>NO</v>
      </c>
      <c r="E165" s="5">
        <v>9.713986087E9</v>
      </c>
      <c r="F165" s="5"/>
      <c r="H165" s="12">
        <v>38098.0</v>
      </c>
      <c r="I165" s="5" t="s">
        <v>16</v>
      </c>
      <c r="J165" s="18" t="s">
        <v>39</v>
      </c>
      <c r="K165" s="20">
        <v>302.0</v>
      </c>
      <c r="L165" s="15" t="s">
        <v>18</v>
      </c>
      <c r="M165" s="6" t="str">
        <f t="shared" si="1"/>
        <v/>
      </c>
    </row>
    <row r="166" ht="22.5" customHeight="1">
      <c r="A166" s="5">
        <f t="shared" si="3"/>
        <v>162</v>
      </c>
      <c r="B166" s="5" t="s">
        <v>420</v>
      </c>
      <c r="C166" s="5" t="s">
        <v>14</v>
      </c>
      <c r="D166" s="6" t="str">
        <f>IFERROR(__xludf.DUMMYFUNCTION("INDEX(IMPORTDATA(""https://raw.githubusercontent.com/lukes/ISO-3166-Countries-with-Regional-Codes/master/all/all.csv""), MATCH(C166, INDEX(IMPORTDATA(""https://raw.githubusercontent.com/lukes/ISO-3166-Countries-with-Regional-Codes/master/all/all.csv""), 0"&amp;", 1), 0), 2)"),"NP")</f>
        <v>NP</v>
      </c>
      <c r="E166" s="5" t="s">
        <v>421</v>
      </c>
      <c r="F166" s="5" t="s">
        <v>422</v>
      </c>
      <c r="H166" s="12">
        <v>35345.0</v>
      </c>
      <c r="I166" s="5" t="s">
        <v>156</v>
      </c>
      <c r="J166" s="18" t="s">
        <v>39</v>
      </c>
      <c r="K166" s="20">
        <v>303.0</v>
      </c>
      <c r="L166" s="10" t="s">
        <v>35</v>
      </c>
      <c r="M166" s="6" t="str">
        <f t="shared" si="1"/>
        <v/>
      </c>
    </row>
    <row r="167" ht="22.5" customHeight="1">
      <c r="A167" s="5">
        <f t="shared" si="3"/>
        <v>163</v>
      </c>
      <c r="B167" s="5" t="s">
        <v>423</v>
      </c>
      <c r="C167" s="5" t="s">
        <v>14</v>
      </c>
      <c r="D167" s="6" t="str">
        <f>IFERROR(__xludf.DUMMYFUNCTION("INDEX(IMPORTDATA(""https://raw.githubusercontent.com/lukes/ISO-3166-Countries-with-Regional-Codes/master/all/all.csv""), MATCH(C167, INDEX(IMPORTDATA(""https://raw.githubusercontent.com/lukes/ISO-3166-Countries-with-Regional-Codes/master/all/all.csv""), 0"&amp;", 1), 0), 2)"),"NP")</f>
        <v>NP</v>
      </c>
      <c r="E167" s="5">
        <v>9.840252837E9</v>
      </c>
      <c r="F167" s="5" t="s">
        <v>424</v>
      </c>
      <c r="H167" s="12">
        <v>37927.0</v>
      </c>
      <c r="I167" s="5" t="s">
        <v>16</v>
      </c>
      <c r="J167" s="18" t="s">
        <v>39</v>
      </c>
      <c r="K167" s="20">
        <v>304.0</v>
      </c>
      <c r="L167" s="10" t="s">
        <v>18</v>
      </c>
      <c r="M167" s="6" t="str">
        <f t="shared" si="1"/>
        <v/>
      </c>
    </row>
    <row r="168" ht="22.5" customHeight="1">
      <c r="A168" s="5">
        <f t="shared" si="3"/>
        <v>164</v>
      </c>
      <c r="B168" s="5" t="s">
        <v>425</v>
      </c>
      <c r="C168" s="5" t="s">
        <v>14</v>
      </c>
      <c r="D168" s="6" t="str">
        <f>IFERROR(__xludf.DUMMYFUNCTION("INDEX(IMPORTDATA(""https://raw.githubusercontent.com/lukes/ISO-3166-Countries-with-Regional-Codes/master/all/all.csv""), MATCH(C168, INDEX(IMPORTDATA(""https://raw.githubusercontent.com/lukes/ISO-3166-Countries-with-Regional-Codes/master/all/all.csv""), 0"&amp;", 1), 0), 2)"),"NP")</f>
        <v>NP</v>
      </c>
      <c r="E168" s="5" t="s">
        <v>426</v>
      </c>
      <c r="F168" s="5" t="s">
        <v>427</v>
      </c>
      <c r="H168" s="12">
        <v>37198.0</v>
      </c>
      <c r="I168" s="5" t="s">
        <v>16</v>
      </c>
      <c r="J168" s="18" t="s">
        <v>39</v>
      </c>
      <c r="K168" s="20">
        <v>305.0</v>
      </c>
      <c r="L168" s="10" t="s">
        <v>18</v>
      </c>
      <c r="M168" s="6" t="str">
        <f t="shared" si="1"/>
        <v/>
      </c>
    </row>
    <row r="169" ht="22.5" customHeight="1">
      <c r="A169" s="5">
        <f t="shared" si="3"/>
        <v>165</v>
      </c>
      <c r="B169" s="5" t="s">
        <v>428</v>
      </c>
      <c r="C169" s="5" t="s">
        <v>14</v>
      </c>
      <c r="D169" s="6" t="str">
        <f>IFERROR(__xludf.DUMMYFUNCTION("INDEX(IMPORTDATA(""https://raw.githubusercontent.com/lukes/ISO-3166-Countries-with-Regional-Codes/master/all/all.csv""), MATCH(C169, INDEX(IMPORTDATA(""https://raw.githubusercontent.com/lukes/ISO-3166-Countries-with-Regional-Codes/master/all/all.csv""), 0"&amp;", 1), 0), 2)"),"NP")</f>
        <v>NP</v>
      </c>
      <c r="E169" s="5" t="s">
        <v>429</v>
      </c>
      <c r="F169" s="5" t="s">
        <v>430</v>
      </c>
      <c r="H169" s="7">
        <v>31608.0</v>
      </c>
      <c r="I169" s="5" t="s">
        <v>16</v>
      </c>
      <c r="J169" s="18" t="s">
        <v>39</v>
      </c>
      <c r="K169" s="20">
        <v>306.0</v>
      </c>
      <c r="L169" s="10" t="s">
        <v>18</v>
      </c>
      <c r="M169" s="6" t="str">
        <f t="shared" si="1"/>
        <v/>
      </c>
    </row>
    <row r="170" ht="22.5" customHeight="1">
      <c r="A170" s="5">
        <f t="shared" si="3"/>
        <v>166</v>
      </c>
      <c r="B170" s="5" t="s">
        <v>431</v>
      </c>
      <c r="C170" s="5" t="s">
        <v>14</v>
      </c>
      <c r="D170" s="6" t="str">
        <f>IFERROR(__xludf.DUMMYFUNCTION("INDEX(IMPORTDATA(""https://raw.githubusercontent.com/lukes/ISO-3166-Countries-with-Regional-Codes/master/all/all.csv""), MATCH(C170, INDEX(IMPORTDATA(""https://raw.githubusercontent.com/lukes/ISO-3166-Countries-with-Regional-Codes/master/all/all.csv""), 0"&amp;", 1), 0), 2)"),"NP")</f>
        <v>NP</v>
      </c>
      <c r="E170" s="5" t="s">
        <v>432</v>
      </c>
      <c r="F170" s="5" t="s">
        <v>433</v>
      </c>
      <c r="H170" s="12">
        <v>36868.0</v>
      </c>
      <c r="I170" s="5" t="s">
        <v>16</v>
      </c>
      <c r="J170" s="18" t="s">
        <v>39</v>
      </c>
      <c r="K170" s="20">
        <v>307.0</v>
      </c>
      <c r="L170" s="10" t="s">
        <v>29</v>
      </c>
      <c r="M170" s="6" t="str">
        <f t="shared" si="1"/>
        <v/>
      </c>
    </row>
    <row r="171" ht="22.5" customHeight="1">
      <c r="A171" s="5">
        <f t="shared" si="3"/>
        <v>167</v>
      </c>
      <c r="B171" s="5" t="s">
        <v>434</v>
      </c>
      <c r="C171" s="5" t="s">
        <v>14</v>
      </c>
      <c r="D171" s="6" t="str">
        <f>IFERROR(__xludf.DUMMYFUNCTION("INDEX(IMPORTDATA(""https://raw.githubusercontent.com/lukes/ISO-3166-Countries-with-Regional-Codes/master/all/all.csv""), MATCH(C171, INDEX(IMPORTDATA(""https://raw.githubusercontent.com/lukes/ISO-3166-Countries-with-Regional-Codes/master/all/all.csv""), 0"&amp;", 1), 0), 2)"),"NP")</f>
        <v>NP</v>
      </c>
      <c r="E171" s="5">
        <v>9.849087216E9</v>
      </c>
      <c r="F171" s="5" t="s">
        <v>435</v>
      </c>
      <c r="G171" s="5">
        <v>7219774.0</v>
      </c>
      <c r="H171" s="7">
        <v>35394.0</v>
      </c>
      <c r="I171" s="5" t="s">
        <v>16</v>
      </c>
      <c r="J171" s="18" t="s">
        <v>39</v>
      </c>
      <c r="K171" s="20">
        <v>308.0</v>
      </c>
      <c r="L171" s="10" t="s">
        <v>29</v>
      </c>
      <c r="M171" s="6" t="str">
        <f t="shared" si="1"/>
        <v/>
      </c>
    </row>
    <row r="172" ht="22.5" customHeight="1">
      <c r="A172" s="5">
        <f t="shared" si="3"/>
        <v>168</v>
      </c>
      <c r="B172" s="5" t="s">
        <v>436</v>
      </c>
      <c r="C172" s="5" t="s">
        <v>14</v>
      </c>
      <c r="D172" s="6" t="str">
        <f>IFERROR(__xludf.DUMMYFUNCTION("INDEX(IMPORTDATA(""https://raw.githubusercontent.com/lukes/ISO-3166-Countries-with-Regional-Codes/master/all/all.csv""), MATCH(C172, INDEX(IMPORTDATA(""https://raw.githubusercontent.com/lukes/ISO-3166-Countries-with-Regional-Codes/master/all/all.csv""), 0"&amp;", 1), 0), 2)"),"NP")</f>
        <v>NP</v>
      </c>
      <c r="E172" s="5">
        <v>9.762921244E9</v>
      </c>
      <c r="F172" s="5" t="s">
        <v>437</v>
      </c>
      <c r="H172" s="7">
        <v>36576.0</v>
      </c>
      <c r="I172" s="5" t="s">
        <v>16</v>
      </c>
      <c r="J172" s="18" t="s">
        <v>39</v>
      </c>
      <c r="K172" s="20">
        <v>309.0</v>
      </c>
      <c r="L172" s="10" t="s">
        <v>29</v>
      </c>
      <c r="M172" s="6" t="str">
        <f t="shared" si="1"/>
        <v/>
      </c>
    </row>
    <row r="173" ht="22.5" customHeight="1">
      <c r="A173" s="5">
        <f t="shared" si="3"/>
        <v>169</v>
      </c>
      <c r="B173" s="5" t="s">
        <v>438</v>
      </c>
      <c r="C173" s="5" t="s">
        <v>14</v>
      </c>
      <c r="D173" s="6" t="str">
        <f>IFERROR(__xludf.DUMMYFUNCTION("INDEX(IMPORTDATA(""https://raw.githubusercontent.com/lukes/ISO-3166-Countries-with-Regional-Codes/master/all/all.csv""), MATCH(C173, INDEX(IMPORTDATA(""https://raw.githubusercontent.com/lukes/ISO-3166-Countries-with-Regional-Codes/master/all/all.csv""), 0"&amp;", 1), 0), 2)"),"NP")</f>
        <v>NP</v>
      </c>
      <c r="E173" s="5">
        <v>9.803406582E9</v>
      </c>
      <c r="F173" s="5" t="s">
        <v>439</v>
      </c>
      <c r="H173" s="7">
        <v>28870.0</v>
      </c>
      <c r="I173" s="5" t="s">
        <v>16</v>
      </c>
      <c r="J173" s="18" t="s">
        <v>39</v>
      </c>
      <c r="K173" s="20">
        <v>310.0</v>
      </c>
      <c r="L173" s="10" t="s">
        <v>56</v>
      </c>
      <c r="M173" s="6" t="str">
        <f t="shared" si="1"/>
        <v/>
      </c>
    </row>
    <row r="174" ht="22.5" customHeight="1">
      <c r="A174" s="5">
        <f t="shared" si="3"/>
        <v>170</v>
      </c>
      <c r="B174" s="5" t="s">
        <v>440</v>
      </c>
      <c r="C174" s="5" t="s">
        <v>14</v>
      </c>
      <c r="D174" s="6" t="str">
        <f>IFERROR(__xludf.DUMMYFUNCTION("INDEX(IMPORTDATA(""https://raw.githubusercontent.com/lukes/ISO-3166-Countries-with-Regional-Codes/master/all/all.csv""), MATCH(C174, INDEX(IMPORTDATA(""https://raw.githubusercontent.com/lukes/ISO-3166-Countries-with-Regional-Codes/master/all/all.csv""), 0"&amp;", 1), 0), 2)"),"NP")</f>
        <v>NP</v>
      </c>
      <c r="E174" s="5">
        <v>9.808429768E9</v>
      </c>
      <c r="F174" s="5" t="s">
        <v>441</v>
      </c>
      <c r="H174" s="7">
        <v>36093.0</v>
      </c>
      <c r="I174" s="5" t="s">
        <v>16</v>
      </c>
      <c r="J174" s="18" t="s">
        <v>39</v>
      </c>
      <c r="K174" s="20">
        <v>311.0</v>
      </c>
      <c r="L174" s="10" t="s">
        <v>35</v>
      </c>
      <c r="M174" s="6" t="str">
        <f t="shared" si="1"/>
        <v/>
      </c>
    </row>
    <row r="175" ht="22.5" customHeight="1">
      <c r="A175" s="5">
        <f t="shared" si="3"/>
        <v>171</v>
      </c>
      <c r="B175" s="5" t="s">
        <v>442</v>
      </c>
      <c r="C175" s="5" t="s">
        <v>14</v>
      </c>
      <c r="D175" s="6" t="str">
        <f>IFERROR(__xludf.DUMMYFUNCTION("INDEX(IMPORTDATA(""https://raw.githubusercontent.com/lukes/ISO-3166-Countries-with-Regional-Codes/master/all/all.csv""), MATCH(C175, INDEX(IMPORTDATA(""https://raw.githubusercontent.com/lukes/ISO-3166-Countries-with-Regional-Codes/master/all/all.csv""), 0"&amp;", 1), 0), 2)"),"NP")</f>
        <v>NP</v>
      </c>
      <c r="E175" s="5">
        <v>9.923440299E9</v>
      </c>
      <c r="F175" s="5" t="s">
        <v>443</v>
      </c>
      <c r="H175" s="7">
        <v>31580.0</v>
      </c>
      <c r="I175" s="5" t="s">
        <v>16</v>
      </c>
      <c r="J175" s="18" t="s">
        <v>39</v>
      </c>
      <c r="K175" s="20">
        <v>312.0</v>
      </c>
      <c r="L175" s="10" t="s">
        <v>35</v>
      </c>
      <c r="M175" s="6" t="str">
        <f t="shared" si="1"/>
        <v/>
      </c>
    </row>
    <row r="176" ht="22.5" customHeight="1">
      <c r="A176" s="5">
        <f t="shared" si="3"/>
        <v>172</v>
      </c>
      <c r="B176" s="5" t="s">
        <v>444</v>
      </c>
      <c r="C176" s="5" t="s">
        <v>14</v>
      </c>
      <c r="D176" s="6" t="str">
        <f>IFERROR(__xludf.DUMMYFUNCTION("INDEX(IMPORTDATA(""https://raw.githubusercontent.com/lukes/ISO-3166-Countries-with-Regional-Codes/master/all/all.csv""), MATCH(C176, INDEX(IMPORTDATA(""https://raw.githubusercontent.com/lukes/ISO-3166-Countries-with-Regional-Codes/master/all/all.csv""), 0"&amp;", 1), 0), 2)"),"NP")</f>
        <v>NP</v>
      </c>
      <c r="E176" s="5">
        <v>9.861900586E9</v>
      </c>
      <c r="F176" s="5" t="s">
        <v>445</v>
      </c>
      <c r="H176" s="7">
        <v>39919.0</v>
      </c>
      <c r="I176" s="5" t="s">
        <v>16</v>
      </c>
      <c r="J176" s="18" t="s">
        <v>39</v>
      </c>
      <c r="K176" s="20">
        <v>313.0</v>
      </c>
      <c r="L176" s="10" t="s">
        <v>35</v>
      </c>
      <c r="M176" s="6" t="str">
        <f t="shared" si="1"/>
        <v/>
      </c>
    </row>
    <row r="177" ht="22.5" customHeight="1">
      <c r="A177" s="5">
        <f t="shared" si="3"/>
        <v>173</v>
      </c>
      <c r="B177" s="5" t="s">
        <v>446</v>
      </c>
      <c r="C177" s="5" t="s">
        <v>14</v>
      </c>
      <c r="D177" s="6" t="str">
        <f>IFERROR(__xludf.DUMMYFUNCTION("INDEX(IMPORTDATA(""https://raw.githubusercontent.com/lukes/ISO-3166-Countries-with-Regional-Codes/master/all/all.csv""), MATCH(C177, INDEX(IMPORTDATA(""https://raw.githubusercontent.com/lukes/ISO-3166-Countries-with-Regional-Codes/master/all/all.csv""), 0"&amp;", 1), 0), 2)"),"NP")</f>
        <v>NP</v>
      </c>
      <c r="E177" s="5">
        <v>9.861900586E9</v>
      </c>
      <c r="F177" s="5" t="s">
        <v>445</v>
      </c>
      <c r="H177" s="7">
        <v>39563.0</v>
      </c>
      <c r="I177" s="5" t="s">
        <v>16</v>
      </c>
      <c r="J177" s="18" t="s">
        <v>39</v>
      </c>
      <c r="K177" s="20">
        <v>314.0</v>
      </c>
      <c r="L177" s="10" t="s">
        <v>35</v>
      </c>
      <c r="M177" s="6" t="str">
        <f t="shared" si="1"/>
        <v/>
      </c>
    </row>
    <row r="178" ht="22.5" customHeight="1">
      <c r="A178" s="5">
        <f t="shared" si="3"/>
        <v>174</v>
      </c>
      <c r="B178" s="5" t="s">
        <v>447</v>
      </c>
      <c r="C178" s="5" t="s">
        <v>14</v>
      </c>
      <c r="D178" s="6" t="str">
        <f>IFERROR(__xludf.DUMMYFUNCTION("INDEX(IMPORTDATA(""https://raw.githubusercontent.com/lukes/ISO-3166-Countries-with-Regional-Codes/master/all/all.csv""), MATCH(C178, INDEX(IMPORTDATA(""https://raw.githubusercontent.com/lukes/ISO-3166-Countries-with-Regional-Codes/master/all/all.csv""), 0"&amp;", 1), 0), 2)"),"NP")</f>
        <v>NP</v>
      </c>
      <c r="E178" s="5">
        <v>9.86148405E9</v>
      </c>
      <c r="F178" s="5" t="s">
        <v>448</v>
      </c>
      <c r="G178" s="5">
        <v>7199390.0</v>
      </c>
      <c r="H178" s="7">
        <v>37732.0</v>
      </c>
      <c r="I178" s="5" t="s">
        <v>16</v>
      </c>
      <c r="J178" s="18" t="s">
        <v>39</v>
      </c>
      <c r="K178" s="20">
        <v>315.0</v>
      </c>
      <c r="L178" s="10" t="s">
        <v>35</v>
      </c>
      <c r="M178" s="6" t="str">
        <f t="shared" si="1"/>
        <v/>
      </c>
    </row>
    <row r="179" ht="22.5" customHeight="1">
      <c r="A179" s="5">
        <f t="shared" si="3"/>
        <v>175</v>
      </c>
      <c r="B179" s="5" t="s">
        <v>449</v>
      </c>
      <c r="C179" s="5" t="s">
        <v>14</v>
      </c>
      <c r="D179" s="6" t="str">
        <f>IFERROR(__xludf.DUMMYFUNCTION("INDEX(IMPORTDATA(""https://raw.githubusercontent.com/lukes/ISO-3166-Countries-with-Regional-Codes/master/all/all.csv""), MATCH(C179, INDEX(IMPORTDATA(""https://raw.githubusercontent.com/lukes/ISO-3166-Countries-with-Regional-Codes/master/all/all.csv""), 0"&amp;", 1), 0), 2)"),"NP")</f>
        <v>NP</v>
      </c>
      <c r="E179" s="5">
        <v>9.860082381E9</v>
      </c>
      <c r="F179" s="5" t="s">
        <v>450</v>
      </c>
      <c r="G179" s="5">
        <v>7202990.0</v>
      </c>
      <c r="H179" s="12">
        <v>37565.0</v>
      </c>
      <c r="I179" s="5" t="s">
        <v>16</v>
      </c>
      <c r="J179" s="18" t="s">
        <v>39</v>
      </c>
      <c r="K179" s="20">
        <v>316.0</v>
      </c>
      <c r="L179" s="10" t="s">
        <v>18</v>
      </c>
      <c r="M179" s="6" t="str">
        <f t="shared" si="1"/>
        <v/>
      </c>
    </row>
    <row r="180" ht="22.5" customHeight="1">
      <c r="A180" s="5">
        <f t="shared" si="3"/>
        <v>176</v>
      </c>
      <c r="B180" s="5" t="s">
        <v>451</v>
      </c>
      <c r="C180" s="5" t="s">
        <v>14</v>
      </c>
      <c r="D180" s="6" t="str">
        <f>IFERROR(__xludf.DUMMYFUNCTION("INDEX(IMPORTDATA(""https://raw.githubusercontent.com/lukes/ISO-3166-Countries-with-Regional-Codes/master/all/all.csv""), MATCH(C180, INDEX(IMPORTDATA(""https://raw.githubusercontent.com/lukes/ISO-3166-Countries-with-Regional-Codes/master/all/all.csv""), 0"&amp;", 1), 0), 2)"),"NP")</f>
        <v>NP</v>
      </c>
      <c r="E180" s="5">
        <v>9.851151295E9</v>
      </c>
      <c r="F180" s="5" t="s">
        <v>452</v>
      </c>
      <c r="H180" s="7">
        <v>32433.0</v>
      </c>
      <c r="I180" s="5" t="s">
        <v>16</v>
      </c>
      <c r="J180" s="18" t="s">
        <v>39</v>
      </c>
      <c r="K180" s="20">
        <v>317.0</v>
      </c>
      <c r="L180" s="10" t="s">
        <v>29</v>
      </c>
      <c r="M180" s="6" t="str">
        <f t="shared" si="1"/>
        <v/>
      </c>
    </row>
    <row r="181" ht="22.5" customHeight="1">
      <c r="A181" s="5">
        <f t="shared" si="3"/>
        <v>177</v>
      </c>
      <c r="B181" s="5" t="s">
        <v>453</v>
      </c>
      <c r="C181" s="5" t="s">
        <v>14</v>
      </c>
      <c r="D181" s="6" t="str">
        <f>IFERROR(__xludf.DUMMYFUNCTION("INDEX(IMPORTDATA(""https://raw.githubusercontent.com/lukes/ISO-3166-Countries-with-Regional-Codes/master/all/all.csv""), MATCH(C181, INDEX(IMPORTDATA(""https://raw.githubusercontent.com/lukes/ISO-3166-Countries-with-Regional-Codes/master/all/all.csv""), 0"&amp;", 1), 0), 2)"),"NP")</f>
        <v>NP</v>
      </c>
      <c r="E181" s="5" t="s">
        <v>454</v>
      </c>
      <c r="F181" s="5" t="s">
        <v>455</v>
      </c>
      <c r="H181" s="12">
        <v>39332.0</v>
      </c>
      <c r="I181" s="5" t="s">
        <v>16</v>
      </c>
      <c r="J181" s="18" t="s">
        <v>39</v>
      </c>
      <c r="K181" s="20">
        <v>318.0</v>
      </c>
      <c r="L181" s="10" t="s">
        <v>18</v>
      </c>
      <c r="M181" s="6" t="str">
        <f t="shared" si="1"/>
        <v/>
      </c>
    </row>
    <row r="182" ht="22.5" customHeight="1">
      <c r="A182" s="5">
        <f t="shared" si="3"/>
        <v>178</v>
      </c>
      <c r="B182" s="5" t="s">
        <v>456</v>
      </c>
      <c r="C182" s="5" t="s">
        <v>14</v>
      </c>
      <c r="D182" s="6" t="str">
        <f>IFERROR(__xludf.DUMMYFUNCTION("INDEX(IMPORTDATA(""https://raw.githubusercontent.com/lukes/ISO-3166-Countries-with-Regional-Codes/master/all/all.csv""), MATCH(C182, INDEX(IMPORTDATA(""https://raw.githubusercontent.com/lukes/ISO-3166-Countries-with-Regional-Codes/master/all/all.csv""), 0"&amp;", 1), 0), 2)"),"NP")</f>
        <v>NP</v>
      </c>
      <c r="E182" s="5">
        <v>9.767555574E9</v>
      </c>
      <c r="F182" s="5" t="s">
        <v>457</v>
      </c>
      <c r="G182" s="5">
        <v>7172680.0</v>
      </c>
      <c r="H182" s="7">
        <v>37285.0</v>
      </c>
      <c r="I182" s="5" t="s">
        <v>16</v>
      </c>
      <c r="J182" s="18" t="s">
        <v>39</v>
      </c>
      <c r="K182" s="20">
        <v>319.0</v>
      </c>
      <c r="L182" s="10" t="s">
        <v>29</v>
      </c>
      <c r="M182" s="6" t="str">
        <f t="shared" si="1"/>
        <v/>
      </c>
    </row>
    <row r="183" ht="22.5" customHeight="1">
      <c r="A183" s="5">
        <f t="shared" si="3"/>
        <v>179</v>
      </c>
      <c r="B183" s="5" t="s">
        <v>458</v>
      </c>
      <c r="C183" s="5" t="s">
        <v>14</v>
      </c>
      <c r="D183" s="6" t="str">
        <f>IFERROR(__xludf.DUMMYFUNCTION("INDEX(IMPORTDATA(""https://raw.githubusercontent.com/lukes/ISO-3166-Countries-with-Regional-Codes/master/all/all.csv""), MATCH(C183, INDEX(IMPORTDATA(""https://raw.githubusercontent.com/lukes/ISO-3166-Countries-with-Regional-Codes/master/all/all.csv""), 0"&amp;", 1), 0), 2)"),"NP")</f>
        <v>NP</v>
      </c>
      <c r="E183" s="5">
        <v>9.863328545E9</v>
      </c>
      <c r="F183" s="5" t="s">
        <v>459</v>
      </c>
      <c r="G183" s="5">
        <v>7166837.0</v>
      </c>
      <c r="H183" s="7">
        <v>34472.0</v>
      </c>
      <c r="I183" s="5" t="s">
        <v>16</v>
      </c>
      <c r="J183" s="18" t="s">
        <v>39</v>
      </c>
      <c r="K183" s="20">
        <v>320.0</v>
      </c>
      <c r="L183" s="10" t="s">
        <v>29</v>
      </c>
      <c r="M183" s="6" t="str">
        <f t="shared" si="1"/>
        <v/>
      </c>
    </row>
    <row r="184" ht="22.5" customHeight="1">
      <c r="A184" s="5">
        <f t="shared" si="3"/>
        <v>180</v>
      </c>
      <c r="B184" s="5" t="s">
        <v>460</v>
      </c>
      <c r="C184" s="5" t="s">
        <v>14</v>
      </c>
      <c r="D184" s="6" t="str">
        <f>IFERROR(__xludf.DUMMYFUNCTION("INDEX(IMPORTDATA(""https://raw.githubusercontent.com/lukes/ISO-3166-Countries-with-Regional-Codes/master/all/all.csv""), MATCH(C184, INDEX(IMPORTDATA(""https://raw.githubusercontent.com/lukes/ISO-3166-Countries-with-Regional-Codes/master/all/all.csv""), 0"&amp;", 1), 0), 2)"),"NP")</f>
        <v>NP</v>
      </c>
      <c r="E184" s="5">
        <v>9.765149456E9</v>
      </c>
      <c r="F184" s="5" t="s">
        <v>461</v>
      </c>
      <c r="H184" s="7">
        <v>28143.0</v>
      </c>
      <c r="I184" s="5" t="s">
        <v>16</v>
      </c>
      <c r="J184" s="18" t="s">
        <v>39</v>
      </c>
      <c r="K184" s="20">
        <v>321.0</v>
      </c>
      <c r="L184" s="10" t="s">
        <v>35</v>
      </c>
      <c r="M184" s="6" t="str">
        <f t="shared" si="1"/>
        <v/>
      </c>
    </row>
    <row r="185" ht="22.5" customHeight="1">
      <c r="A185" s="5">
        <f t="shared" si="3"/>
        <v>181</v>
      </c>
      <c r="B185" s="5" t="s">
        <v>462</v>
      </c>
      <c r="C185" s="5" t="s">
        <v>14</v>
      </c>
      <c r="D185" s="6" t="str">
        <f>IFERROR(__xludf.DUMMYFUNCTION("INDEX(IMPORTDATA(""https://raw.githubusercontent.com/lukes/ISO-3166-Countries-with-Regional-Codes/master/all/all.csv""), MATCH(C185, INDEX(IMPORTDATA(""https://raw.githubusercontent.com/lukes/ISO-3166-Countries-with-Regional-Codes/master/all/all.csv""), 0"&amp;", 1), 0), 2)"),"NP")</f>
        <v>NP</v>
      </c>
      <c r="E185" s="5">
        <v>9.841834791E9</v>
      </c>
      <c r="F185" s="5" t="s">
        <v>463</v>
      </c>
      <c r="H185" s="7">
        <v>30541.0</v>
      </c>
      <c r="I185" s="5" t="s">
        <v>16</v>
      </c>
      <c r="J185" s="18" t="s">
        <v>39</v>
      </c>
      <c r="K185" s="20">
        <v>322.0</v>
      </c>
      <c r="L185" s="10" t="s">
        <v>89</v>
      </c>
      <c r="M185" s="6" t="str">
        <f t="shared" si="1"/>
        <v/>
      </c>
    </row>
    <row r="186" ht="22.5" customHeight="1">
      <c r="A186" s="5">
        <f t="shared" si="3"/>
        <v>182</v>
      </c>
      <c r="B186" s="5" t="s">
        <v>464</v>
      </c>
      <c r="C186" s="5" t="s">
        <v>14</v>
      </c>
      <c r="D186" s="6" t="str">
        <f>IFERROR(__xludf.DUMMYFUNCTION("INDEX(IMPORTDATA(""https://raw.githubusercontent.com/lukes/ISO-3166-Countries-with-Regional-Codes/master/all/all.csv""), MATCH(C186, INDEX(IMPORTDATA(""https://raw.githubusercontent.com/lukes/ISO-3166-Countries-with-Regional-Codes/master/all/all.csv""), 0"&amp;", 1), 0), 2)"),"NP")</f>
        <v>NP</v>
      </c>
      <c r="E186" s="5">
        <v>9.851101747E9</v>
      </c>
      <c r="F186" s="5" t="s">
        <v>465</v>
      </c>
      <c r="H186" s="7">
        <v>30525.0</v>
      </c>
      <c r="I186" s="5" t="s">
        <v>16</v>
      </c>
      <c r="J186" s="18" t="s">
        <v>39</v>
      </c>
      <c r="K186" s="20">
        <v>323.0</v>
      </c>
      <c r="L186" s="10" t="s">
        <v>35</v>
      </c>
      <c r="M186" s="6" t="str">
        <f t="shared" si="1"/>
        <v/>
      </c>
    </row>
    <row r="187" ht="22.5" customHeight="1">
      <c r="A187" s="5">
        <f t="shared" si="3"/>
        <v>183</v>
      </c>
      <c r="B187" s="5" t="s">
        <v>466</v>
      </c>
      <c r="C187" s="5" t="s">
        <v>14</v>
      </c>
      <c r="D187" s="6" t="str">
        <f>IFERROR(__xludf.DUMMYFUNCTION("INDEX(IMPORTDATA(""https://raw.githubusercontent.com/lukes/ISO-3166-Countries-with-Regional-Codes/master/all/all.csv""), MATCH(C187, INDEX(IMPORTDATA(""https://raw.githubusercontent.com/lukes/ISO-3166-Countries-with-Regional-Codes/master/all/all.csv""), 0"&amp;", 1), 0), 2)"),"NP")</f>
        <v>NP</v>
      </c>
      <c r="E187" s="5" t="s">
        <v>467</v>
      </c>
      <c r="F187" s="5" t="s">
        <v>468</v>
      </c>
      <c r="G187" s="5">
        <v>7202927.0</v>
      </c>
      <c r="H187" s="12">
        <v>39084.0</v>
      </c>
      <c r="I187" s="5" t="s">
        <v>16</v>
      </c>
      <c r="J187" s="18" t="s">
        <v>39</v>
      </c>
      <c r="K187" s="20">
        <v>324.0</v>
      </c>
      <c r="L187" s="10" t="s">
        <v>18</v>
      </c>
      <c r="M187" s="6" t="str">
        <f t="shared" si="1"/>
        <v/>
      </c>
    </row>
    <row r="188" ht="22.5" customHeight="1">
      <c r="A188" s="5">
        <f t="shared" si="3"/>
        <v>184</v>
      </c>
      <c r="B188" s="5" t="s">
        <v>469</v>
      </c>
      <c r="C188" s="5" t="s">
        <v>14</v>
      </c>
      <c r="D188" s="6" t="str">
        <f>IFERROR(__xludf.DUMMYFUNCTION("INDEX(IMPORTDATA(""https://raw.githubusercontent.com/lukes/ISO-3166-Countries-with-Regional-Codes/master/all/all.csv""), MATCH(C188, INDEX(IMPORTDATA(""https://raw.githubusercontent.com/lukes/ISO-3166-Countries-with-Regional-Codes/master/all/all.csv""), 0"&amp;", 1), 0), 2)"),"NP")</f>
        <v>NP</v>
      </c>
      <c r="E188" s="5">
        <v>9.81619229E9</v>
      </c>
      <c r="F188" s="5" t="s">
        <v>470</v>
      </c>
      <c r="G188" s="5">
        <v>6947157.0</v>
      </c>
      <c r="H188" s="7">
        <v>35303.0</v>
      </c>
      <c r="I188" s="5" t="s">
        <v>16</v>
      </c>
      <c r="J188" s="18" t="s">
        <v>39</v>
      </c>
      <c r="K188" s="20">
        <v>325.0</v>
      </c>
      <c r="L188" s="10" t="s">
        <v>29</v>
      </c>
      <c r="M188" s="6" t="str">
        <f t="shared" si="1"/>
        <v/>
      </c>
    </row>
    <row r="189" ht="22.5" customHeight="1">
      <c r="A189" s="5">
        <f t="shared" si="3"/>
        <v>185</v>
      </c>
      <c r="B189" s="5" t="s">
        <v>471</v>
      </c>
      <c r="C189" s="5" t="s">
        <v>130</v>
      </c>
      <c r="D189" s="6" t="str">
        <f>IFERROR(__xludf.DUMMYFUNCTION("INDEX(IMPORTDATA(""https://raw.githubusercontent.com/lukes/ISO-3166-Countries-with-Regional-Codes/master/all/all.csv""), MATCH(C189, INDEX(IMPORTDATA(""https://raw.githubusercontent.com/lukes/ISO-3166-Countries-with-Regional-Codes/master/all/all.csv""), 0"&amp;", 1), 0), 2)"),"AF")</f>
        <v>AF</v>
      </c>
      <c r="E189" s="5">
        <v>9.803335508E9</v>
      </c>
      <c r="F189" s="5" t="s">
        <v>472</v>
      </c>
      <c r="H189" s="12">
        <v>32635.0</v>
      </c>
      <c r="I189" s="5" t="s">
        <v>16</v>
      </c>
      <c r="J189" s="18" t="s">
        <v>39</v>
      </c>
      <c r="K189" s="20">
        <v>326.0</v>
      </c>
      <c r="L189" s="10" t="s">
        <v>35</v>
      </c>
      <c r="M189" s="6" t="str">
        <f t="shared" si="1"/>
        <v/>
      </c>
    </row>
    <row r="190" ht="22.5" customHeight="1">
      <c r="A190" s="5">
        <f t="shared" si="3"/>
        <v>186</v>
      </c>
      <c r="B190" s="5" t="s">
        <v>473</v>
      </c>
      <c r="C190" s="5" t="s">
        <v>474</v>
      </c>
      <c r="D190" s="6" t="str">
        <f>IFERROR(__xludf.DUMMYFUNCTION("INDEX(IMPORTDATA(""https://raw.githubusercontent.com/lukes/ISO-3166-Countries-with-Regional-Codes/master/all/all.csv""), MATCH(C190, INDEX(IMPORTDATA(""https://raw.githubusercontent.com/lukes/ISO-3166-Countries-with-Regional-Codes/master/all/all.csv""), 0"&amp;", 1), 0), 2)"),"CN")</f>
        <v>CN</v>
      </c>
      <c r="E190" s="5" t="s">
        <v>475</v>
      </c>
      <c r="F190" s="5" t="s">
        <v>476</v>
      </c>
      <c r="H190" s="7">
        <v>36545.0</v>
      </c>
      <c r="I190" s="5" t="s">
        <v>16</v>
      </c>
      <c r="J190" s="18" t="s">
        <v>39</v>
      </c>
      <c r="K190" s="20">
        <v>327.0</v>
      </c>
      <c r="L190" s="10" t="s">
        <v>18</v>
      </c>
      <c r="M190" s="6" t="str">
        <f t="shared" si="1"/>
        <v/>
      </c>
    </row>
    <row r="191" ht="22.5" customHeight="1">
      <c r="A191" s="5">
        <f t="shared" si="3"/>
        <v>187</v>
      </c>
      <c r="B191" s="5" t="s">
        <v>477</v>
      </c>
      <c r="C191" s="5" t="s">
        <v>478</v>
      </c>
      <c r="D191" s="6" t="str">
        <f>IFERROR(__xludf.DUMMYFUNCTION("INDEX(IMPORTDATA(""https://raw.githubusercontent.com/lukes/ISO-3166-Countries-with-Regional-Codes/master/all/all.csv""), MATCH(C191, INDEX(IMPORTDATA(""https://raw.githubusercontent.com/lukes/ISO-3166-Countries-with-Regional-Codes/master/all/all.csv""), 0"&amp;", 1), 0), 2)"),"FI")</f>
        <v>FI</v>
      </c>
      <c r="E191" s="5" t="s">
        <v>479</v>
      </c>
      <c r="F191" s="5" t="s">
        <v>480</v>
      </c>
      <c r="H191" s="12">
        <v>34551.0</v>
      </c>
      <c r="I191" s="5" t="s">
        <v>16</v>
      </c>
      <c r="J191" s="18" t="s">
        <v>39</v>
      </c>
      <c r="K191" s="20">
        <v>328.0</v>
      </c>
      <c r="L191" s="10" t="s">
        <v>35</v>
      </c>
      <c r="M191" s="6" t="str">
        <f t="shared" si="1"/>
        <v/>
      </c>
    </row>
    <row r="192" ht="22.5" customHeight="1">
      <c r="A192" s="5">
        <f t="shared" si="3"/>
        <v>188</v>
      </c>
      <c r="B192" s="5" t="s">
        <v>481</v>
      </c>
      <c r="C192" s="5" t="s">
        <v>137</v>
      </c>
      <c r="D192" s="6" t="str">
        <f>IFERROR(__xludf.DUMMYFUNCTION("INDEX(IMPORTDATA(""https://raw.githubusercontent.com/lukes/ISO-3166-Countries-with-Regional-Codes/master/all/all.csv""), MATCH(C192, INDEX(IMPORTDATA(""https://raw.githubusercontent.com/lukes/ISO-3166-Countries-with-Regional-Codes/master/all/all.csv""), 0"&amp;", 1), 0), 2)"),"FR")</f>
        <v>FR</v>
      </c>
      <c r="E192" s="5">
        <v>9.810072983E9</v>
      </c>
      <c r="F192" s="5" t="s">
        <v>482</v>
      </c>
      <c r="H192" s="12">
        <v>34736.0</v>
      </c>
      <c r="I192" s="5" t="s">
        <v>16</v>
      </c>
      <c r="J192" s="18" t="s">
        <v>39</v>
      </c>
      <c r="K192" s="20">
        <v>329.0</v>
      </c>
      <c r="L192" s="10" t="s">
        <v>35</v>
      </c>
      <c r="M192" s="6" t="str">
        <f t="shared" si="1"/>
        <v/>
      </c>
    </row>
    <row r="193" ht="22.5" customHeight="1">
      <c r="A193" s="5">
        <f t="shared" si="3"/>
        <v>189</v>
      </c>
      <c r="B193" s="5" t="s">
        <v>483</v>
      </c>
      <c r="C193" s="5" t="s">
        <v>137</v>
      </c>
      <c r="D193" s="6" t="str">
        <f>IFERROR(__xludf.DUMMYFUNCTION("INDEX(IMPORTDATA(""https://raw.githubusercontent.com/lukes/ISO-3166-Countries-with-Regional-Codes/master/all/all.csv""), MATCH(C193, INDEX(IMPORTDATA(""https://raw.githubusercontent.com/lukes/ISO-3166-Countries-with-Regional-Codes/master/all/all.csv""), 0"&amp;", 1), 0), 2)"),"FR")</f>
        <v>FR</v>
      </c>
      <c r="E193" s="5" t="s">
        <v>484</v>
      </c>
      <c r="F193" s="5" t="s">
        <v>485</v>
      </c>
      <c r="G193" s="5">
        <v>6664946.0</v>
      </c>
      <c r="H193" s="12">
        <v>32996.0</v>
      </c>
      <c r="I193" s="5" t="s">
        <v>16</v>
      </c>
      <c r="J193" s="18" t="s">
        <v>39</v>
      </c>
      <c r="K193" s="20">
        <v>330.0</v>
      </c>
      <c r="L193" s="10" t="s">
        <v>18</v>
      </c>
      <c r="M193" s="6" t="str">
        <f t="shared" si="1"/>
        <v/>
      </c>
    </row>
    <row r="194" ht="22.5" customHeight="1">
      <c r="A194" s="5">
        <f t="shared" si="3"/>
        <v>190</v>
      </c>
      <c r="B194" s="5" t="s">
        <v>486</v>
      </c>
      <c r="C194" s="5" t="s">
        <v>140</v>
      </c>
      <c r="D194" s="6" t="str">
        <f>IFERROR(__xludf.DUMMYFUNCTION("INDEX(IMPORTDATA(""https://raw.githubusercontent.com/lukes/ISO-3166-Countries-with-Regional-Codes/master/all/all.csv""), MATCH(C194, INDEX(IMPORTDATA(""https://raw.githubusercontent.com/lukes/ISO-3166-Countries-with-Regional-Codes/master/all/all.csv""), 0"&amp;", 1), 0), 2)"),"DE")</f>
        <v>DE</v>
      </c>
      <c r="E194" s="5">
        <v>9.819356609E9</v>
      </c>
      <c r="F194" s="5" t="s">
        <v>487</v>
      </c>
      <c r="H194" s="7">
        <v>30578.0</v>
      </c>
      <c r="I194" s="5" t="s">
        <v>16</v>
      </c>
      <c r="J194" s="18" t="s">
        <v>39</v>
      </c>
      <c r="K194" s="20">
        <v>331.0</v>
      </c>
      <c r="L194" s="10" t="s">
        <v>56</v>
      </c>
      <c r="M194" s="6" t="str">
        <f t="shared" si="1"/>
        <v/>
      </c>
    </row>
    <row r="195" ht="22.5" customHeight="1">
      <c r="A195" s="5">
        <f t="shared" si="3"/>
        <v>191</v>
      </c>
      <c r="B195" s="5" t="s">
        <v>488</v>
      </c>
      <c r="C195" s="5" t="s">
        <v>366</v>
      </c>
      <c r="D195" s="6" t="str">
        <f>IFERROR(__xludf.DUMMYFUNCTION("INDEX(IMPORTDATA(""https://raw.githubusercontent.com/lukes/ISO-3166-Countries-with-Regional-Codes/master/all/all.csv""), MATCH(C195, INDEX(IMPORTDATA(""https://raw.githubusercontent.com/lukes/ISO-3166-Countries-with-Regional-Codes/master/all/all.csv""), 0"&amp;", 1), 0), 2)"),"IN")</f>
        <v>IN</v>
      </c>
      <c r="E195" s="5" t="s">
        <v>489</v>
      </c>
      <c r="F195" s="5" t="s">
        <v>490</v>
      </c>
      <c r="H195" s="7">
        <v>33865.0</v>
      </c>
      <c r="I195" s="5" t="s">
        <v>16</v>
      </c>
      <c r="J195" s="18" t="s">
        <v>39</v>
      </c>
      <c r="K195" s="20">
        <v>332.0</v>
      </c>
      <c r="L195" s="10" t="s">
        <v>29</v>
      </c>
      <c r="M195" s="6" t="str">
        <f t="shared" si="1"/>
        <v/>
      </c>
    </row>
    <row r="196" ht="22.5" customHeight="1">
      <c r="A196" s="5">
        <f t="shared" si="3"/>
        <v>192</v>
      </c>
      <c r="B196" s="5" t="s">
        <v>491</v>
      </c>
      <c r="C196" s="5" t="s">
        <v>372</v>
      </c>
      <c r="D196" s="6" t="str">
        <f>IFERROR(__xludf.DUMMYFUNCTION("INDEX(IMPORTDATA(""https://raw.githubusercontent.com/lukes/ISO-3166-Countries-with-Regional-Codes/master/all/all.csv""), MATCH(C196, INDEX(IMPORTDATA(""https://raw.githubusercontent.com/lukes/ISO-3166-Countries-with-Regional-Codes/master/all/all.csv""), 0"&amp;", 1), 0), 2)"),"NO")</f>
        <v>NO</v>
      </c>
      <c r="E196" s="5" t="s">
        <v>492</v>
      </c>
      <c r="F196" s="5" t="s">
        <v>493</v>
      </c>
      <c r="H196" s="7">
        <v>35906.0</v>
      </c>
      <c r="I196" s="5" t="s">
        <v>16</v>
      </c>
      <c r="J196" s="18" t="s">
        <v>39</v>
      </c>
      <c r="K196" s="20">
        <v>333.0</v>
      </c>
      <c r="L196" s="10" t="s">
        <v>56</v>
      </c>
      <c r="M196" s="6" t="str">
        <f t="shared" si="1"/>
        <v/>
      </c>
    </row>
    <row r="197" ht="22.5" customHeight="1">
      <c r="A197" s="5">
        <f t="shared" si="3"/>
        <v>193</v>
      </c>
      <c r="B197" s="5" t="s">
        <v>494</v>
      </c>
      <c r="C197" s="5" t="s">
        <v>495</v>
      </c>
      <c r="D197" s="6" t="str">
        <f>IFERROR(__xludf.DUMMYFUNCTION("INDEX(IMPORTDATA(""https://raw.githubusercontent.com/lukes/ISO-3166-Countries-with-Regional-Codes/master/all/all.csv""), MATCH(C197, INDEX(IMPORTDATA(""https://raw.githubusercontent.com/lukes/ISO-3166-Countries-with-Regional-Codes/master/all/all.csv""), 0"&amp;", 1), 0), 2)"),"PL")</f>
        <v>PL</v>
      </c>
      <c r="E197" s="5" t="s">
        <v>496</v>
      </c>
      <c r="F197" s="5" t="s">
        <v>497</v>
      </c>
      <c r="H197" s="7">
        <v>32780.0</v>
      </c>
      <c r="I197" s="5" t="s">
        <v>16</v>
      </c>
      <c r="J197" s="18" t="s">
        <v>39</v>
      </c>
      <c r="K197" s="20">
        <v>334.0</v>
      </c>
      <c r="L197" s="10" t="s">
        <v>89</v>
      </c>
      <c r="M197" s="6" t="str">
        <f t="shared" si="1"/>
        <v/>
      </c>
    </row>
    <row r="198" ht="22.5" customHeight="1">
      <c r="A198" s="5">
        <f t="shared" si="3"/>
        <v>194</v>
      </c>
      <c r="B198" s="5" t="s">
        <v>498</v>
      </c>
      <c r="C198" s="5" t="s">
        <v>499</v>
      </c>
      <c r="D198" s="6" t="str">
        <f>IFERROR(__xludf.DUMMYFUNCTION("INDEX(IMPORTDATA(""https://raw.githubusercontent.com/lukes/ISO-3166-Countries-with-Regional-Codes/master/all/all.csv""), MATCH(C198, INDEX(IMPORTDATA(""https://raw.githubusercontent.com/lukes/ISO-3166-Countries-with-Regional-Codes/master/all/all.csv""), 0"&amp;", 1), 0), 2)"),"SE")</f>
        <v>SE</v>
      </c>
      <c r="E198" s="5">
        <v>9.81065007E9</v>
      </c>
      <c r="F198" s="5" t="s">
        <v>500</v>
      </c>
      <c r="H198" s="7">
        <v>34786.0</v>
      </c>
      <c r="I198" s="5" t="s">
        <v>16</v>
      </c>
      <c r="J198" s="18" t="s">
        <v>39</v>
      </c>
      <c r="K198" s="20">
        <v>335.0</v>
      </c>
      <c r="L198" s="10" t="s">
        <v>35</v>
      </c>
      <c r="M198" s="6" t="str">
        <f t="shared" si="1"/>
        <v/>
      </c>
    </row>
    <row r="199" ht="22.5" customHeight="1">
      <c r="A199" s="5">
        <f t="shared" si="3"/>
        <v>195</v>
      </c>
      <c r="B199" s="5" t="s">
        <v>501</v>
      </c>
      <c r="C199" s="5" t="s">
        <v>380</v>
      </c>
      <c r="D199" s="6" t="str">
        <f>IFERROR(__xludf.DUMMYFUNCTION("INDEX(IMPORTDATA(""https://raw.githubusercontent.com/lukes/ISO-3166-Countries-with-Regional-Codes/master/all/all.csv""), MATCH(C199, INDEX(IMPORTDATA(""https://raw.githubusercontent.com/lukes/ISO-3166-Countries-with-Regional-Codes/master/all/all.csv""), 0"&amp;", 1), 0), 2)"),"TH")</f>
        <v>TH</v>
      </c>
      <c r="E199" s="5" t="s">
        <v>502</v>
      </c>
      <c r="F199" s="5" t="s">
        <v>503</v>
      </c>
      <c r="G199" s="5">
        <v>6420154.0</v>
      </c>
      <c r="H199" s="7">
        <v>31712.0</v>
      </c>
      <c r="I199" s="5" t="s">
        <v>16</v>
      </c>
      <c r="J199" s="18" t="s">
        <v>39</v>
      </c>
      <c r="K199" s="20">
        <v>336.0</v>
      </c>
      <c r="L199" s="10" t="s">
        <v>29</v>
      </c>
      <c r="M199" s="6" t="str">
        <f t="shared" si="1"/>
        <v/>
      </c>
    </row>
    <row r="200" ht="22.5" customHeight="1">
      <c r="A200" s="5">
        <f t="shared" si="3"/>
        <v>196</v>
      </c>
      <c r="B200" s="5" t="s">
        <v>504</v>
      </c>
      <c r="C200" s="5" t="s">
        <v>147</v>
      </c>
      <c r="D200" s="6" t="str">
        <f>IFERROR(__xludf.DUMMYFUNCTION("INDEX(IMPORTDATA(""https://raw.githubusercontent.com/lukes/ISO-3166-Countries-with-Regional-Codes/master/all/all.csv""), MATCH(C200, INDEX(IMPORTDATA(""https://raw.githubusercontent.com/lukes/ISO-3166-Countries-with-Regional-Codes/master/all/all.csv""), 0"&amp;", 1), 0), 2)"),"GB")</f>
        <v>GB</v>
      </c>
      <c r="E200" s="5" t="s">
        <v>505</v>
      </c>
      <c r="F200" s="5" t="s">
        <v>506</v>
      </c>
      <c r="H200" s="12">
        <v>36286.0</v>
      </c>
      <c r="I200" s="5" t="s">
        <v>16</v>
      </c>
      <c r="J200" s="18" t="s">
        <v>39</v>
      </c>
      <c r="K200" s="20">
        <v>337.0</v>
      </c>
      <c r="L200" s="10" t="s">
        <v>18</v>
      </c>
      <c r="M200" s="6" t="str">
        <f t="shared" si="1"/>
        <v/>
      </c>
    </row>
    <row r="201" ht="22.5" customHeight="1">
      <c r="A201" s="5">
        <f t="shared" si="3"/>
        <v>197</v>
      </c>
      <c r="B201" s="5" t="s">
        <v>507</v>
      </c>
      <c r="C201" s="5" t="s">
        <v>151</v>
      </c>
      <c r="D201" s="6" t="str">
        <f>IFERROR(__xludf.DUMMYFUNCTION("INDEX(IMPORTDATA(""https://raw.githubusercontent.com/lukes/ISO-3166-Countries-with-Regional-Codes/master/all/all.csv""), MATCH(C201, INDEX(IMPORTDATA(""https://raw.githubusercontent.com/lukes/ISO-3166-Countries-with-Regional-Codes/master/all/all.csv""), 0"&amp;", 1), 0), 2)"),"US")</f>
        <v>US</v>
      </c>
      <c r="E201" s="5" t="s">
        <v>508</v>
      </c>
      <c r="F201" s="5" t="s">
        <v>509</v>
      </c>
      <c r="H201" s="7">
        <v>32489.0</v>
      </c>
      <c r="I201" s="5" t="s">
        <v>16</v>
      </c>
      <c r="J201" s="18" t="s">
        <v>39</v>
      </c>
      <c r="K201" s="20">
        <v>338.0</v>
      </c>
      <c r="L201" s="10" t="s">
        <v>35</v>
      </c>
      <c r="M201" s="6" t="str">
        <f t="shared" si="1"/>
        <v/>
      </c>
    </row>
    <row r="202" ht="22.5" customHeight="1">
      <c r="A202" s="5">
        <f t="shared" si="3"/>
        <v>198</v>
      </c>
      <c r="B202" s="5" t="s">
        <v>510</v>
      </c>
      <c r="C202" s="5" t="s">
        <v>151</v>
      </c>
      <c r="D202" s="6" t="str">
        <f>IFERROR(__xludf.DUMMYFUNCTION("INDEX(IMPORTDATA(""https://raw.githubusercontent.com/lukes/ISO-3166-Countries-with-Regional-Codes/master/all/all.csv""), MATCH(C202, INDEX(IMPORTDATA(""https://raw.githubusercontent.com/lukes/ISO-3166-Countries-with-Regional-Codes/master/all/all.csv""), 0"&amp;", 1), 0), 2)"),"US")</f>
        <v>US</v>
      </c>
      <c r="E202" s="5">
        <v>9.704583667E9</v>
      </c>
      <c r="F202" s="5" t="s">
        <v>511</v>
      </c>
      <c r="H202" s="12">
        <v>30623.0</v>
      </c>
      <c r="I202" s="5" t="s">
        <v>16</v>
      </c>
      <c r="J202" s="18" t="s">
        <v>39</v>
      </c>
      <c r="K202" s="20">
        <v>339.0</v>
      </c>
      <c r="L202" s="10" t="s">
        <v>18</v>
      </c>
      <c r="M202" s="6" t="str">
        <f t="shared" si="1"/>
        <v/>
      </c>
    </row>
    <row r="203" ht="22.5" customHeight="1">
      <c r="A203" s="5">
        <f t="shared" si="3"/>
        <v>199</v>
      </c>
      <c r="B203" s="5" t="s">
        <v>512</v>
      </c>
      <c r="C203" s="5" t="s">
        <v>151</v>
      </c>
      <c r="D203" s="6" t="str">
        <f>IFERROR(__xludf.DUMMYFUNCTION("INDEX(IMPORTDATA(""https://raw.githubusercontent.com/lukes/ISO-3166-Countries-with-Regional-Codes/master/all/all.csv""), MATCH(C203, INDEX(IMPORTDATA(""https://raw.githubusercontent.com/lukes/ISO-3166-Countries-with-Regional-Codes/master/all/all.csv""), 0"&amp;", 1), 0), 2)"),"US")</f>
        <v>US</v>
      </c>
      <c r="E203" s="5">
        <v>9.801003025E9</v>
      </c>
      <c r="F203" s="5" t="s">
        <v>513</v>
      </c>
      <c r="H203" s="12">
        <v>28189.0</v>
      </c>
      <c r="I203" s="5" t="s">
        <v>16</v>
      </c>
      <c r="J203" s="18" t="s">
        <v>39</v>
      </c>
      <c r="K203" s="20">
        <v>340.0</v>
      </c>
      <c r="L203" s="10" t="s">
        <v>89</v>
      </c>
      <c r="M203" s="6" t="str">
        <f t="shared" si="1"/>
        <v/>
      </c>
    </row>
    <row r="204" ht="22.5" customHeight="1">
      <c r="A204" s="5">
        <f t="shared" si="3"/>
        <v>200</v>
      </c>
      <c r="B204" s="5" t="s">
        <v>514</v>
      </c>
      <c r="C204" s="5" t="s">
        <v>14</v>
      </c>
      <c r="D204" s="6" t="str">
        <f>IFERROR(__xludf.DUMMYFUNCTION("INDEX(IMPORTDATA(""https://raw.githubusercontent.com/lukes/ISO-3166-Countries-with-Regional-Codes/master/all/all.csv""), MATCH(C204, INDEX(IMPORTDATA(""https://raw.githubusercontent.com/lukes/ISO-3166-Countries-with-Regional-Codes/master/all/all.csv""), 0"&amp;", 1), 0), 2)"),"NP")</f>
        <v>NP</v>
      </c>
      <c r="E204" s="5">
        <v>9.808397088E9</v>
      </c>
      <c r="F204" s="5" t="s">
        <v>515</v>
      </c>
      <c r="H204" s="7">
        <v>32919.0</v>
      </c>
      <c r="I204" s="5" t="s">
        <v>156</v>
      </c>
      <c r="J204" s="18" t="s">
        <v>39</v>
      </c>
      <c r="K204" s="20">
        <v>341.0</v>
      </c>
      <c r="L204" s="10" t="s">
        <v>35</v>
      </c>
      <c r="M204" s="6" t="str">
        <f t="shared" si="1"/>
        <v/>
      </c>
    </row>
    <row r="205" ht="22.5" customHeight="1">
      <c r="A205" s="5">
        <f t="shared" si="3"/>
        <v>201</v>
      </c>
      <c r="B205" s="5" t="s">
        <v>516</v>
      </c>
      <c r="C205" s="5" t="s">
        <v>14</v>
      </c>
      <c r="D205" s="6" t="str">
        <f>IFERROR(__xludf.DUMMYFUNCTION("INDEX(IMPORTDATA(""https://raw.githubusercontent.com/lukes/ISO-3166-Countries-with-Regional-Codes/master/all/all.csv""), MATCH(C205, INDEX(IMPORTDATA(""https://raw.githubusercontent.com/lukes/ISO-3166-Countries-with-Regional-Codes/master/all/all.csv""), 0"&amp;", 1), 0), 2)"),"NP")</f>
        <v>NP</v>
      </c>
      <c r="E205" s="5">
        <v>9.851159785E9</v>
      </c>
      <c r="F205" s="5" t="s">
        <v>517</v>
      </c>
      <c r="G205" s="5">
        <v>6195677.0</v>
      </c>
      <c r="H205" s="12">
        <v>32175.0</v>
      </c>
      <c r="I205" s="5" t="s">
        <v>156</v>
      </c>
      <c r="J205" s="18" t="s">
        <v>39</v>
      </c>
      <c r="K205" s="20">
        <v>342.0</v>
      </c>
      <c r="L205" s="10" t="s">
        <v>35</v>
      </c>
      <c r="M205" s="6" t="str">
        <f t="shared" si="1"/>
        <v/>
      </c>
    </row>
    <row r="206" ht="22.5" customHeight="1">
      <c r="A206" s="5">
        <f t="shared" si="3"/>
        <v>202</v>
      </c>
      <c r="B206" s="5" t="s">
        <v>518</v>
      </c>
      <c r="C206" s="5" t="s">
        <v>14</v>
      </c>
      <c r="D206" s="6" t="str">
        <f>IFERROR(__xludf.DUMMYFUNCTION("INDEX(IMPORTDATA(""https://raw.githubusercontent.com/lukes/ISO-3166-Countries-with-Regional-Codes/master/all/all.csv""), MATCH(C206, INDEX(IMPORTDATA(""https://raw.githubusercontent.com/lukes/ISO-3166-Countries-with-Regional-Codes/master/all/all.csv""), 0"&amp;", 1), 0), 2)"),"NP")</f>
        <v>NP</v>
      </c>
      <c r="E206" s="5">
        <v>9.818888569E9</v>
      </c>
      <c r="F206" s="5" t="s">
        <v>519</v>
      </c>
      <c r="H206" s="7">
        <v>36846.0</v>
      </c>
      <c r="I206" s="5" t="s">
        <v>156</v>
      </c>
      <c r="J206" s="18" t="s">
        <v>39</v>
      </c>
      <c r="K206" s="20">
        <v>343.0</v>
      </c>
      <c r="L206" s="10" t="s">
        <v>35</v>
      </c>
      <c r="M206" s="6" t="str">
        <f t="shared" si="1"/>
        <v/>
      </c>
    </row>
    <row r="207" ht="22.5" customHeight="1">
      <c r="A207" s="5">
        <f t="shared" si="3"/>
        <v>203</v>
      </c>
      <c r="B207" s="5" t="s">
        <v>520</v>
      </c>
      <c r="C207" s="5" t="s">
        <v>14</v>
      </c>
      <c r="D207" s="6" t="str">
        <f>IFERROR(__xludf.DUMMYFUNCTION("INDEX(IMPORTDATA(""https://raw.githubusercontent.com/lukes/ISO-3166-Countries-with-Regional-Codes/master/all/all.csv""), MATCH(C207, INDEX(IMPORTDATA(""https://raw.githubusercontent.com/lukes/ISO-3166-Countries-with-Regional-Codes/master/all/all.csv""), 0"&amp;", 1), 0), 2)"),"NP")</f>
        <v>NP</v>
      </c>
      <c r="E207" s="5" t="s">
        <v>521</v>
      </c>
      <c r="F207" s="5" t="s">
        <v>522</v>
      </c>
      <c r="H207" s="7">
        <v>40570.0</v>
      </c>
      <c r="I207" s="5" t="s">
        <v>156</v>
      </c>
      <c r="J207" s="18" t="s">
        <v>39</v>
      </c>
      <c r="K207" s="20">
        <v>344.0</v>
      </c>
      <c r="L207" s="10" t="s">
        <v>18</v>
      </c>
      <c r="M207" s="6" t="str">
        <f t="shared" si="1"/>
        <v/>
      </c>
    </row>
    <row r="208" ht="22.5" customHeight="1">
      <c r="A208" s="5">
        <f t="shared" si="3"/>
        <v>204</v>
      </c>
      <c r="B208" s="5" t="s">
        <v>523</v>
      </c>
      <c r="C208" s="5" t="s">
        <v>14</v>
      </c>
      <c r="D208" s="6" t="str">
        <f>IFERROR(__xludf.DUMMYFUNCTION("INDEX(IMPORTDATA(""https://raw.githubusercontent.com/lukes/ISO-3166-Countries-with-Regional-Codes/master/all/all.csv""), MATCH(C208, INDEX(IMPORTDATA(""https://raw.githubusercontent.com/lukes/ISO-3166-Countries-with-Regional-Codes/master/all/all.csv""), 0"&amp;", 1), 0), 2)"),"NP")</f>
        <v>NP</v>
      </c>
      <c r="E208" s="5">
        <v>9.851111082E9</v>
      </c>
      <c r="F208" s="5" t="s">
        <v>524</v>
      </c>
      <c r="G208" s="5">
        <v>4733212.0</v>
      </c>
      <c r="H208" s="7">
        <v>28841.0</v>
      </c>
      <c r="I208" s="5" t="s">
        <v>156</v>
      </c>
      <c r="J208" s="18" t="s">
        <v>39</v>
      </c>
      <c r="K208" s="20">
        <v>345.0</v>
      </c>
      <c r="L208" s="10" t="s">
        <v>18</v>
      </c>
      <c r="M208" s="6" t="str">
        <f t="shared" si="1"/>
        <v/>
      </c>
    </row>
    <row r="209" ht="22.5" customHeight="1">
      <c r="A209" s="5">
        <f t="shared" si="3"/>
        <v>205</v>
      </c>
      <c r="B209" s="5" t="s">
        <v>525</v>
      </c>
      <c r="C209" s="5" t="s">
        <v>14</v>
      </c>
      <c r="D209" s="6" t="str">
        <f>IFERROR(__xludf.DUMMYFUNCTION("INDEX(IMPORTDATA(""https://raw.githubusercontent.com/lukes/ISO-3166-Countries-with-Regional-Codes/master/all/all.csv""), MATCH(C209, INDEX(IMPORTDATA(""https://raw.githubusercontent.com/lukes/ISO-3166-Countries-with-Regional-Codes/master/all/all.csv""), 0"&amp;", 1), 0), 2)"),"NP")</f>
        <v>NP</v>
      </c>
      <c r="E209" s="5">
        <v>9.860980344E9</v>
      </c>
      <c r="F209" s="5" t="s">
        <v>526</v>
      </c>
      <c r="H209" s="7">
        <v>36510.0</v>
      </c>
      <c r="I209" s="5" t="s">
        <v>156</v>
      </c>
      <c r="J209" s="18" t="s">
        <v>39</v>
      </c>
      <c r="K209" s="20">
        <v>346.0</v>
      </c>
      <c r="L209" s="10" t="s">
        <v>89</v>
      </c>
      <c r="M209" s="6" t="str">
        <f t="shared" si="1"/>
        <v/>
      </c>
    </row>
    <row r="210" ht="22.5" customHeight="1">
      <c r="A210" s="5">
        <f t="shared" si="3"/>
        <v>206</v>
      </c>
      <c r="B210" s="5" t="s">
        <v>527</v>
      </c>
      <c r="C210" s="5" t="s">
        <v>14</v>
      </c>
      <c r="D210" s="6" t="str">
        <f>IFERROR(__xludf.DUMMYFUNCTION("INDEX(IMPORTDATA(""https://raw.githubusercontent.com/lukes/ISO-3166-Countries-with-Regional-Codes/master/all/all.csv""), MATCH(C210, INDEX(IMPORTDATA(""https://raw.githubusercontent.com/lukes/ISO-3166-Countries-with-Regional-Codes/master/all/all.csv""), 0"&amp;", 1), 0), 2)"),"NP")</f>
        <v>NP</v>
      </c>
      <c r="E210" s="5">
        <v>9.763523926E9</v>
      </c>
      <c r="F210" s="5" t="s">
        <v>528</v>
      </c>
      <c r="G210" s="5">
        <v>7018578.0</v>
      </c>
      <c r="H210" s="12">
        <v>33550.0</v>
      </c>
      <c r="I210" s="5" t="s">
        <v>156</v>
      </c>
      <c r="J210" s="18" t="s">
        <v>39</v>
      </c>
      <c r="K210" s="20">
        <v>347.0</v>
      </c>
      <c r="L210" s="10" t="s">
        <v>18</v>
      </c>
      <c r="M210" s="6" t="str">
        <f t="shared" si="1"/>
        <v/>
      </c>
    </row>
    <row r="211" ht="22.5" customHeight="1">
      <c r="A211" s="5">
        <f t="shared" si="3"/>
        <v>207</v>
      </c>
      <c r="B211" s="5" t="s">
        <v>529</v>
      </c>
      <c r="C211" s="5" t="s">
        <v>14</v>
      </c>
      <c r="D211" s="6" t="str">
        <f>IFERROR(__xludf.DUMMYFUNCTION("INDEX(IMPORTDATA(""https://raw.githubusercontent.com/lukes/ISO-3166-Countries-with-Regional-Codes/master/all/all.csv""), MATCH(C211, INDEX(IMPORTDATA(""https://raw.githubusercontent.com/lukes/ISO-3166-Countries-with-Regional-Codes/master/all/all.csv""), 0"&amp;", 1), 0), 2)"),"NP")</f>
        <v>NP</v>
      </c>
      <c r="E211" s="5">
        <v>9.960167881E9</v>
      </c>
      <c r="F211" s="5" t="s">
        <v>530</v>
      </c>
      <c r="G211" s="5">
        <v>7202931.0</v>
      </c>
      <c r="H211" s="7">
        <v>29156.0</v>
      </c>
      <c r="I211" s="5" t="s">
        <v>156</v>
      </c>
      <c r="J211" s="18" t="s">
        <v>39</v>
      </c>
      <c r="K211" s="20">
        <v>348.0</v>
      </c>
      <c r="L211" s="10" t="s">
        <v>89</v>
      </c>
      <c r="M211" s="6" t="str">
        <f t="shared" si="1"/>
        <v/>
      </c>
    </row>
    <row r="212" ht="22.5" customHeight="1">
      <c r="A212" s="5">
        <f t="shared" si="3"/>
        <v>208</v>
      </c>
      <c r="B212" s="5" t="s">
        <v>531</v>
      </c>
      <c r="C212" s="5" t="s">
        <v>14</v>
      </c>
      <c r="D212" s="6" t="str">
        <f>IFERROR(__xludf.DUMMYFUNCTION("INDEX(IMPORTDATA(""https://raw.githubusercontent.com/lukes/ISO-3166-Countries-with-Regional-Codes/master/all/all.csv""), MATCH(C212, INDEX(IMPORTDATA(""https://raw.githubusercontent.com/lukes/ISO-3166-Countries-with-Regional-Codes/master/all/all.csv""), 0"&amp;", 1), 0), 2)"),"NP")</f>
        <v>NP</v>
      </c>
      <c r="E212" s="5">
        <v>9.861032899E9</v>
      </c>
      <c r="F212" s="5" t="s">
        <v>532</v>
      </c>
      <c r="H212" s="12">
        <v>30079.0</v>
      </c>
      <c r="I212" s="5" t="s">
        <v>156</v>
      </c>
      <c r="J212" s="18" t="s">
        <v>39</v>
      </c>
      <c r="K212" s="20">
        <v>349.0</v>
      </c>
      <c r="L212" s="10" t="s">
        <v>89</v>
      </c>
      <c r="M212" s="6" t="str">
        <f t="shared" si="1"/>
        <v/>
      </c>
    </row>
    <row r="213" ht="22.5" customHeight="1">
      <c r="A213" s="5">
        <f t="shared" si="3"/>
        <v>209</v>
      </c>
      <c r="B213" s="5" t="s">
        <v>533</v>
      </c>
      <c r="C213" s="5" t="s">
        <v>14</v>
      </c>
      <c r="D213" s="6" t="str">
        <f>IFERROR(__xludf.DUMMYFUNCTION("INDEX(IMPORTDATA(""https://raw.githubusercontent.com/lukes/ISO-3166-Countries-with-Regional-Codes/master/all/all.csv""), MATCH(C213, INDEX(IMPORTDATA(""https://raw.githubusercontent.com/lukes/ISO-3166-Countries-with-Regional-Codes/master/all/all.csv""), 0"&amp;", 1), 0), 2)"),"NP")</f>
        <v>NP</v>
      </c>
      <c r="E213" s="5" t="s">
        <v>534</v>
      </c>
      <c r="F213" s="5" t="s">
        <v>535</v>
      </c>
      <c r="H213" s="12">
        <v>34037.0</v>
      </c>
      <c r="I213" s="5" t="s">
        <v>156</v>
      </c>
      <c r="J213" s="18" t="s">
        <v>39</v>
      </c>
      <c r="K213" s="20">
        <v>350.0</v>
      </c>
      <c r="L213" s="10" t="s">
        <v>18</v>
      </c>
      <c r="M213" s="6" t="str">
        <f t="shared" si="1"/>
        <v/>
      </c>
    </row>
    <row r="214" ht="22.5" customHeight="1">
      <c r="A214" s="5">
        <f t="shared" si="3"/>
        <v>210</v>
      </c>
      <c r="B214" s="5" t="s">
        <v>536</v>
      </c>
      <c r="C214" s="5" t="s">
        <v>14</v>
      </c>
      <c r="D214" s="6" t="str">
        <f>IFERROR(__xludf.DUMMYFUNCTION("INDEX(IMPORTDATA(""https://raw.githubusercontent.com/lukes/ISO-3166-Countries-with-Regional-Codes/master/all/all.csv""), MATCH(C214, INDEX(IMPORTDATA(""https://raw.githubusercontent.com/lukes/ISO-3166-Countries-with-Regional-Codes/master/all/all.csv""), 0"&amp;", 1), 0), 2)"),"NP")</f>
        <v>NP</v>
      </c>
      <c r="E214" s="5">
        <v>9.860183285E9</v>
      </c>
      <c r="F214" s="5" t="s">
        <v>537</v>
      </c>
      <c r="H214" s="12">
        <v>34527.0</v>
      </c>
      <c r="I214" s="5" t="s">
        <v>156</v>
      </c>
      <c r="J214" s="18" t="s">
        <v>39</v>
      </c>
      <c r="K214" s="20">
        <v>351.0</v>
      </c>
      <c r="L214" s="10" t="s">
        <v>18</v>
      </c>
      <c r="M214" s="6" t="str">
        <f t="shared" si="1"/>
        <v/>
      </c>
    </row>
    <row r="215" ht="22.5" customHeight="1">
      <c r="A215" s="5">
        <f t="shared" si="3"/>
        <v>211</v>
      </c>
      <c r="B215" s="5" t="s">
        <v>538</v>
      </c>
      <c r="C215" s="5" t="s">
        <v>14</v>
      </c>
      <c r="D215" s="6" t="str">
        <f>IFERROR(__xludf.DUMMYFUNCTION("INDEX(IMPORTDATA(""https://raw.githubusercontent.com/lukes/ISO-3166-Countries-with-Regional-Codes/master/all/all.csv""), MATCH(C215, INDEX(IMPORTDATA(""https://raw.githubusercontent.com/lukes/ISO-3166-Countries-with-Regional-Codes/master/all/all.csv""), 0"&amp;", 1), 0), 2)"),"NP")</f>
        <v>NP</v>
      </c>
      <c r="E215" s="5">
        <v>9.851078728E9</v>
      </c>
      <c r="F215" s="5" t="s">
        <v>539</v>
      </c>
      <c r="H215" s="12">
        <v>23346.0</v>
      </c>
      <c r="I215" s="5" t="s">
        <v>156</v>
      </c>
      <c r="J215" s="18" t="s">
        <v>39</v>
      </c>
      <c r="K215" s="20">
        <v>352.0</v>
      </c>
      <c r="L215" s="10" t="s">
        <v>18</v>
      </c>
      <c r="M215" s="6" t="str">
        <f t="shared" si="1"/>
        <v/>
      </c>
    </row>
    <row r="216" ht="22.5" customHeight="1">
      <c r="A216" s="5">
        <f t="shared" si="3"/>
        <v>212</v>
      </c>
      <c r="B216" s="5" t="s">
        <v>540</v>
      </c>
      <c r="C216" s="5" t="s">
        <v>14</v>
      </c>
      <c r="D216" s="6" t="str">
        <f>IFERROR(__xludf.DUMMYFUNCTION("INDEX(IMPORTDATA(""https://raw.githubusercontent.com/lukes/ISO-3166-Countries-with-Regional-Codes/master/all/all.csv""), MATCH(C216, INDEX(IMPORTDATA(""https://raw.githubusercontent.com/lukes/ISO-3166-Countries-with-Regional-Codes/master/all/all.csv""), 0"&amp;", 1), 0), 2)"),"NP")</f>
        <v>NP</v>
      </c>
      <c r="E216" s="5" t="s">
        <v>541</v>
      </c>
      <c r="F216" s="5" t="s">
        <v>542</v>
      </c>
      <c r="G216" s="5">
        <v>5090645.0</v>
      </c>
      <c r="H216" s="7">
        <v>33269.0</v>
      </c>
      <c r="I216" s="5" t="s">
        <v>156</v>
      </c>
      <c r="J216" s="18" t="s">
        <v>39</v>
      </c>
      <c r="K216" s="20">
        <v>353.0</v>
      </c>
      <c r="L216" s="10" t="s">
        <v>35</v>
      </c>
      <c r="M216" s="6" t="str">
        <f t="shared" si="1"/>
        <v/>
      </c>
    </row>
    <row r="217" ht="22.5" customHeight="1">
      <c r="A217" s="5">
        <f t="shared" si="3"/>
        <v>213</v>
      </c>
      <c r="B217" s="5" t="s">
        <v>543</v>
      </c>
      <c r="C217" s="5" t="s">
        <v>140</v>
      </c>
      <c r="D217" s="6" t="str">
        <f>IFERROR(__xludf.DUMMYFUNCTION("INDEX(IMPORTDATA(""https://raw.githubusercontent.com/lukes/ISO-3166-Countries-with-Regional-Codes/master/all/all.csv""), MATCH(C217, INDEX(IMPORTDATA(""https://raw.githubusercontent.com/lukes/ISO-3166-Countries-with-Regional-Codes/master/all/all.csv""), 0"&amp;", 1), 0), 2)"),"DE")</f>
        <v>DE</v>
      </c>
      <c r="E217" s="5">
        <v>9.765000902E9</v>
      </c>
      <c r="F217" s="5" t="s">
        <v>544</v>
      </c>
      <c r="G217" s="5">
        <v>7135976.0</v>
      </c>
      <c r="H217" s="7">
        <v>38883.0</v>
      </c>
      <c r="I217" s="5" t="s">
        <v>156</v>
      </c>
      <c r="J217" s="18" t="s">
        <v>39</v>
      </c>
      <c r="K217" s="20">
        <v>354.0</v>
      </c>
      <c r="L217" s="10" t="s">
        <v>35</v>
      </c>
      <c r="M217" s="6" t="str">
        <f t="shared" si="1"/>
        <v/>
      </c>
    </row>
    <row r="218" ht="22.5" customHeight="1">
      <c r="A218" s="5">
        <f t="shared" si="3"/>
        <v>214</v>
      </c>
      <c r="B218" s="5" t="s">
        <v>545</v>
      </c>
      <c r="C218" s="5" t="s">
        <v>14</v>
      </c>
      <c r="D218" s="6" t="str">
        <f>IFERROR(__xludf.DUMMYFUNCTION("INDEX(IMPORTDATA(""https://raw.githubusercontent.com/lukes/ISO-3166-Countries-with-Regional-Codes/master/all/all.csv""), MATCH(C218, INDEX(IMPORTDATA(""https://raw.githubusercontent.com/lukes/ISO-3166-Countries-with-Regional-Codes/master/all/all.csv""), 0"&amp;", 1), 0), 2)"),"NP")</f>
        <v>NP</v>
      </c>
      <c r="E218" s="5">
        <v>9.841609414E9</v>
      </c>
      <c r="F218" s="5" t="s">
        <v>546</v>
      </c>
      <c r="H218" s="7">
        <v>31740.0</v>
      </c>
      <c r="I218" s="5" t="s">
        <v>156</v>
      </c>
      <c r="J218" s="18" t="s">
        <v>39</v>
      </c>
      <c r="K218" s="20">
        <v>355.0</v>
      </c>
      <c r="L218" s="10" t="s">
        <v>18</v>
      </c>
      <c r="M218" s="6" t="str">
        <f t="shared" si="1"/>
        <v/>
      </c>
    </row>
    <row r="219" ht="22.5" customHeight="1">
      <c r="A219" s="5">
        <f t="shared" si="3"/>
        <v>215</v>
      </c>
      <c r="B219" s="5" t="s">
        <v>547</v>
      </c>
      <c r="C219" s="5" t="s">
        <v>14</v>
      </c>
      <c r="D219" s="6" t="str">
        <f>IFERROR(__xludf.DUMMYFUNCTION("INDEX(IMPORTDATA(""https://raw.githubusercontent.com/lukes/ISO-3166-Countries-with-Regional-Codes/master/all/all.csv""), MATCH(C219, INDEX(IMPORTDATA(""https://raw.githubusercontent.com/lukes/ISO-3166-Countries-with-Regional-Codes/master/all/all.csv""), 0"&amp;", 1), 0), 2)"),"NP")</f>
        <v>NP</v>
      </c>
      <c r="E219" s="5">
        <v>9.808292692E9</v>
      </c>
      <c r="F219" s="5" t="s">
        <v>548</v>
      </c>
      <c r="H219" s="7">
        <v>34272.0</v>
      </c>
      <c r="I219" s="5" t="s">
        <v>156</v>
      </c>
      <c r="J219" s="18" t="s">
        <v>39</v>
      </c>
      <c r="K219" s="20">
        <v>356.0</v>
      </c>
      <c r="L219" s="10" t="s">
        <v>18</v>
      </c>
      <c r="M219" s="6" t="str">
        <f t="shared" si="1"/>
        <v/>
      </c>
    </row>
    <row r="220" ht="22.5" customHeight="1">
      <c r="A220" s="5">
        <f t="shared" si="3"/>
        <v>216</v>
      </c>
      <c r="B220" s="5" t="s">
        <v>549</v>
      </c>
      <c r="C220" s="5" t="s">
        <v>14</v>
      </c>
      <c r="D220" s="6" t="str">
        <f>IFERROR(__xludf.DUMMYFUNCTION("INDEX(IMPORTDATA(""https://raw.githubusercontent.com/lukes/ISO-3166-Countries-with-Regional-Codes/master/all/all.csv""), MATCH(C220, INDEX(IMPORTDATA(""https://raw.githubusercontent.com/lukes/ISO-3166-Countries-with-Regional-Codes/master/all/all.csv""), 0"&amp;", 1), 0), 2)"),"NP")</f>
        <v>NP</v>
      </c>
      <c r="E220" s="5">
        <v>9.841214829E9</v>
      </c>
      <c r="F220" s="5" t="s">
        <v>550</v>
      </c>
      <c r="H220" s="7">
        <v>23890.0</v>
      </c>
      <c r="I220" s="5" t="s">
        <v>156</v>
      </c>
      <c r="J220" s="18" t="s">
        <v>39</v>
      </c>
      <c r="K220" s="20">
        <v>357.0</v>
      </c>
      <c r="L220" s="10" t="s">
        <v>89</v>
      </c>
      <c r="M220" s="6" t="str">
        <f t="shared" si="1"/>
        <v/>
      </c>
    </row>
    <row r="221" ht="22.5" customHeight="1">
      <c r="A221" s="5">
        <f t="shared" si="3"/>
        <v>217</v>
      </c>
      <c r="B221" s="5" t="s">
        <v>551</v>
      </c>
      <c r="C221" s="5" t="s">
        <v>14</v>
      </c>
      <c r="D221" s="6" t="str">
        <f>IFERROR(__xludf.DUMMYFUNCTION("INDEX(IMPORTDATA(""https://raw.githubusercontent.com/lukes/ISO-3166-Countries-with-Regional-Codes/master/all/all.csv""), MATCH(C221, INDEX(IMPORTDATA(""https://raw.githubusercontent.com/lukes/ISO-3166-Countries-with-Regional-Codes/master/all/all.csv""), 0"&amp;", 1), 0), 2)"),"NP")</f>
        <v>NP</v>
      </c>
      <c r="E221" s="5">
        <v>9.814658054E9</v>
      </c>
      <c r="F221" s="5" t="s">
        <v>552</v>
      </c>
      <c r="H221" s="7">
        <v>31766.0</v>
      </c>
      <c r="I221" s="5" t="s">
        <v>156</v>
      </c>
      <c r="J221" s="18" t="s">
        <v>39</v>
      </c>
      <c r="K221" s="20">
        <v>358.0</v>
      </c>
      <c r="L221" s="10" t="s">
        <v>18</v>
      </c>
      <c r="M221" s="6" t="str">
        <f t="shared" si="1"/>
        <v/>
      </c>
    </row>
    <row r="222" ht="22.5" customHeight="1">
      <c r="A222" s="5">
        <f t="shared" si="3"/>
        <v>218</v>
      </c>
      <c r="B222" s="5" t="s">
        <v>553</v>
      </c>
      <c r="C222" s="5" t="s">
        <v>14</v>
      </c>
      <c r="D222" s="6" t="str">
        <f>IFERROR(__xludf.DUMMYFUNCTION("INDEX(IMPORTDATA(""https://raw.githubusercontent.com/lukes/ISO-3166-Countries-with-Regional-Codes/master/all/all.csv""), MATCH(C222, INDEX(IMPORTDATA(""https://raw.githubusercontent.com/lukes/ISO-3166-Countries-with-Regional-Codes/master/all/all.csv""), 0"&amp;", 1), 0), 2)"),"NP")</f>
        <v>NP</v>
      </c>
      <c r="E222" s="5">
        <v>9.851012752E9</v>
      </c>
      <c r="F222" s="5" t="s">
        <v>554</v>
      </c>
      <c r="H222" s="7">
        <v>27048.0</v>
      </c>
      <c r="I222" s="5" t="s">
        <v>156</v>
      </c>
      <c r="J222" s="18" t="s">
        <v>39</v>
      </c>
      <c r="K222" s="20">
        <v>359.0</v>
      </c>
      <c r="L222" s="10" t="s">
        <v>18</v>
      </c>
      <c r="M222" s="6" t="str">
        <f t="shared" si="1"/>
        <v/>
      </c>
    </row>
    <row r="223" ht="22.5" customHeight="1">
      <c r="A223" s="5">
        <f t="shared" si="3"/>
        <v>219</v>
      </c>
      <c r="B223" s="5" t="s">
        <v>555</v>
      </c>
      <c r="C223" s="5" t="s">
        <v>14</v>
      </c>
      <c r="D223" s="6" t="str">
        <f>IFERROR(__xludf.DUMMYFUNCTION("INDEX(IMPORTDATA(""https://raw.githubusercontent.com/lukes/ISO-3166-Countries-with-Regional-Codes/master/all/all.csv""), MATCH(C223, INDEX(IMPORTDATA(""https://raw.githubusercontent.com/lukes/ISO-3166-Countries-with-Regional-Codes/master/all/all.csv""), 0"&amp;", 1), 0), 2)"),"NP")</f>
        <v>NP</v>
      </c>
      <c r="E223" s="5">
        <v>9.823716503E9</v>
      </c>
      <c r="F223" s="5" t="s">
        <v>556</v>
      </c>
      <c r="H223" s="7">
        <v>35902.0</v>
      </c>
      <c r="I223" s="5" t="s">
        <v>156</v>
      </c>
      <c r="J223" s="18" t="s">
        <v>39</v>
      </c>
      <c r="K223" s="20">
        <v>360.0</v>
      </c>
      <c r="L223" s="10" t="s">
        <v>35</v>
      </c>
      <c r="M223" s="6" t="str">
        <f t="shared" si="1"/>
        <v/>
      </c>
    </row>
    <row r="224" ht="22.5" customHeight="1">
      <c r="A224" s="5">
        <f t="shared" si="3"/>
        <v>220</v>
      </c>
      <c r="B224" s="5" t="s">
        <v>557</v>
      </c>
      <c r="C224" s="5" t="s">
        <v>14</v>
      </c>
      <c r="D224" s="6" t="str">
        <f>IFERROR(__xludf.DUMMYFUNCTION("INDEX(IMPORTDATA(""https://raw.githubusercontent.com/lukes/ISO-3166-Countries-with-Regional-Codes/master/all/all.csv""), MATCH(C224, INDEX(IMPORTDATA(""https://raw.githubusercontent.com/lukes/ISO-3166-Countries-with-Regional-Codes/master/all/all.csv""), 0"&amp;", 1), 0), 2)"),"NP")</f>
        <v>NP</v>
      </c>
      <c r="E224" s="5">
        <v>9.828136746E9</v>
      </c>
      <c r="F224" s="5" t="s">
        <v>558</v>
      </c>
      <c r="H224" s="12">
        <v>37744.0</v>
      </c>
      <c r="I224" s="5" t="s">
        <v>156</v>
      </c>
      <c r="J224" s="18" t="s">
        <v>39</v>
      </c>
      <c r="K224" s="20">
        <v>361.0</v>
      </c>
      <c r="L224" s="10" t="s">
        <v>35</v>
      </c>
      <c r="M224" s="6" t="str">
        <f t="shared" si="1"/>
        <v/>
      </c>
    </row>
    <row r="225" ht="22.5" customHeight="1">
      <c r="A225" s="5">
        <f t="shared" si="3"/>
        <v>221</v>
      </c>
      <c r="B225" s="5" t="s">
        <v>559</v>
      </c>
      <c r="C225" s="5" t="s">
        <v>14</v>
      </c>
      <c r="D225" s="6" t="str">
        <f>IFERROR(__xludf.DUMMYFUNCTION("INDEX(IMPORTDATA(""https://raw.githubusercontent.com/lukes/ISO-3166-Countries-with-Regional-Codes/master/all/all.csv""), MATCH(C225, INDEX(IMPORTDATA(""https://raw.githubusercontent.com/lukes/ISO-3166-Countries-with-Regional-Codes/master/all/all.csv""), 0"&amp;", 1), 0), 2)"),"NP")</f>
        <v>NP</v>
      </c>
      <c r="E225" s="5">
        <v>9.848313617E9</v>
      </c>
      <c r="F225" s="5" t="s">
        <v>560</v>
      </c>
      <c r="H225" s="7">
        <v>34876.0</v>
      </c>
      <c r="I225" s="5" t="s">
        <v>156</v>
      </c>
      <c r="J225" s="18" t="s">
        <v>39</v>
      </c>
      <c r="K225" s="20">
        <v>362.0</v>
      </c>
      <c r="L225" s="10" t="s">
        <v>35</v>
      </c>
      <c r="M225" s="6" t="str">
        <f t="shared" si="1"/>
        <v/>
      </c>
    </row>
    <row r="226" ht="22.5" customHeight="1">
      <c r="A226" s="5">
        <f t="shared" si="3"/>
        <v>222</v>
      </c>
      <c r="B226" s="5" t="s">
        <v>561</v>
      </c>
      <c r="C226" s="5" t="s">
        <v>14</v>
      </c>
      <c r="D226" s="6" t="str">
        <f>IFERROR(__xludf.DUMMYFUNCTION("INDEX(IMPORTDATA(""https://raw.githubusercontent.com/lukes/ISO-3166-Countries-with-Regional-Codes/master/all/all.csv""), MATCH(C226, INDEX(IMPORTDATA(""https://raw.githubusercontent.com/lukes/ISO-3166-Countries-with-Regional-Codes/master/all/all.csv""), 0"&amp;", 1), 0), 2)"),"NP")</f>
        <v>NP</v>
      </c>
      <c r="E226" s="5">
        <v>9.748261185E9</v>
      </c>
      <c r="F226" s="5" t="s">
        <v>562</v>
      </c>
      <c r="H226" s="7">
        <v>38593.0</v>
      </c>
      <c r="I226" s="5" t="s">
        <v>156</v>
      </c>
      <c r="J226" s="18" t="s">
        <v>39</v>
      </c>
      <c r="K226" s="20">
        <v>363.0</v>
      </c>
      <c r="L226" s="10" t="s">
        <v>22</v>
      </c>
      <c r="M226" s="6" t="str">
        <f t="shared" si="1"/>
        <v/>
      </c>
    </row>
    <row r="227" ht="22.5" customHeight="1">
      <c r="A227" s="5">
        <f t="shared" si="3"/>
        <v>223</v>
      </c>
      <c r="B227" s="5" t="s">
        <v>563</v>
      </c>
      <c r="C227" s="5" t="s">
        <v>14</v>
      </c>
      <c r="D227" s="6" t="str">
        <f>IFERROR(__xludf.DUMMYFUNCTION("INDEX(IMPORTDATA(""https://raw.githubusercontent.com/lukes/ISO-3166-Countries-with-Regional-Codes/master/all/all.csv""), MATCH(C227, INDEX(IMPORTDATA(""https://raw.githubusercontent.com/lukes/ISO-3166-Countries-with-Regional-Codes/master/all/all.csv""), 0"&amp;", 1), 0), 2)"),"NP")</f>
        <v>NP</v>
      </c>
      <c r="E227" s="5" t="s">
        <v>564</v>
      </c>
      <c r="F227" s="5" t="s">
        <v>565</v>
      </c>
      <c r="H227" s="12">
        <v>31200.0</v>
      </c>
      <c r="I227" s="5" t="s">
        <v>156</v>
      </c>
      <c r="J227" s="18" t="s">
        <v>39</v>
      </c>
      <c r="K227" s="20">
        <v>364.0</v>
      </c>
      <c r="L227" s="10" t="s">
        <v>35</v>
      </c>
      <c r="M227" s="6" t="str">
        <f t="shared" si="1"/>
        <v/>
      </c>
    </row>
    <row r="228" ht="22.5" customHeight="1">
      <c r="A228" s="5">
        <f t="shared" si="3"/>
        <v>224</v>
      </c>
      <c r="B228" s="5" t="s">
        <v>566</v>
      </c>
      <c r="C228" s="5" t="s">
        <v>14</v>
      </c>
      <c r="D228" s="6" t="str">
        <f>IFERROR(__xludf.DUMMYFUNCTION("INDEX(IMPORTDATA(""https://raw.githubusercontent.com/lukes/ISO-3166-Countries-with-Regional-Codes/master/all/all.csv""), MATCH(C228, INDEX(IMPORTDATA(""https://raw.githubusercontent.com/lukes/ISO-3166-Countries-with-Regional-Codes/master/all/all.csv""), 0"&amp;", 1), 0), 2)"),"NP")</f>
        <v>NP</v>
      </c>
      <c r="E228" s="5">
        <v>9.862179627E9</v>
      </c>
      <c r="F228" s="5" t="s">
        <v>567</v>
      </c>
      <c r="H228" s="12">
        <v>37228.0</v>
      </c>
      <c r="I228" s="5" t="s">
        <v>156</v>
      </c>
      <c r="J228" s="18" t="s">
        <v>39</v>
      </c>
      <c r="K228" s="20">
        <v>365.0</v>
      </c>
      <c r="L228" s="10" t="s">
        <v>35</v>
      </c>
      <c r="M228" s="6" t="str">
        <f t="shared" si="1"/>
        <v/>
      </c>
    </row>
    <row r="229" ht="22.5" customHeight="1">
      <c r="A229" s="5">
        <f t="shared" si="3"/>
        <v>225</v>
      </c>
      <c r="B229" s="5" t="s">
        <v>568</v>
      </c>
      <c r="C229" s="5" t="s">
        <v>14</v>
      </c>
      <c r="D229" s="6" t="str">
        <f>IFERROR(__xludf.DUMMYFUNCTION("INDEX(IMPORTDATA(""https://raw.githubusercontent.com/lukes/ISO-3166-Countries-with-Regional-Codes/master/all/all.csv""), MATCH(C229, INDEX(IMPORTDATA(""https://raw.githubusercontent.com/lukes/ISO-3166-Countries-with-Regional-Codes/master/all/all.csv""), 0"&amp;", 1), 0), 2)"),"NP")</f>
        <v>NP</v>
      </c>
      <c r="E229" s="5" t="s">
        <v>569</v>
      </c>
      <c r="F229" s="5" t="s">
        <v>570</v>
      </c>
      <c r="H229" s="7">
        <v>32644.0</v>
      </c>
      <c r="I229" s="5" t="s">
        <v>156</v>
      </c>
      <c r="J229" s="18" t="s">
        <v>39</v>
      </c>
      <c r="K229" s="20">
        <v>366.0</v>
      </c>
      <c r="L229" s="10" t="s">
        <v>35</v>
      </c>
      <c r="M229" s="6" t="str">
        <f t="shared" si="1"/>
        <v/>
      </c>
    </row>
    <row r="230" ht="22.5" customHeight="1">
      <c r="A230" s="5">
        <f t="shared" si="3"/>
        <v>226</v>
      </c>
      <c r="B230" s="5" t="s">
        <v>571</v>
      </c>
      <c r="C230" s="5" t="s">
        <v>14</v>
      </c>
      <c r="D230" s="6" t="str">
        <f>IFERROR(__xludf.DUMMYFUNCTION("INDEX(IMPORTDATA(""https://raw.githubusercontent.com/lukes/ISO-3166-Countries-with-Regional-Codes/master/all/all.csv""), MATCH(C230, INDEX(IMPORTDATA(""https://raw.githubusercontent.com/lukes/ISO-3166-Countries-with-Regional-Codes/master/all/all.csv""), 0"&amp;", 1), 0), 2)"),"NP")</f>
        <v>NP</v>
      </c>
      <c r="E230" s="5" t="s">
        <v>572</v>
      </c>
      <c r="F230" s="5" t="s">
        <v>573</v>
      </c>
      <c r="H230" s="12">
        <v>35613.0</v>
      </c>
      <c r="I230" s="5" t="s">
        <v>156</v>
      </c>
      <c r="J230" s="18" t="s">
        <v>39</v>
      </c>
      <c r="K230" s="20">
        <v>367.0</v>
      </c>
      <c r="L230" s="10" t="s">
        <v>35</v>
      </c>
      <c r="M230" s="6" t="str">
        <f t="shared" si="1"/>
        <v/>
      </c>
    </row>
    <row r="231" ht="22.5" customHeight="1">
      <c r="A231" s="5">
        <f t="shared" si="3"/>
        <v>227</v>
      </c>
      <c r="B231" s="5" t="s">
        <v>574</v>
      </c>
      <c r="C231" s="5" t="s">
        <v>14</v>
      </c>
      <c r="D231" s="6" t="str">
        <f>IFERROR(__xludf.DUMMYFUNCTION("INDEX(IMPORTDATA(""https://raw.githubusercontent.com/lukes/ISO-3166-Countries-with-Regional-Codes/master/all/all.csv""), MATCH(C231, INDEX(IMPORTDATA(""https://raw.githubusercontent.com/lukes/ISO-3166-Countries-with-Regional-Codes/master/all/all.csv""), 0"&amp;", 1), 0), 2)"),"NP")</f>
        <v>NP</v>
      </c>
      <c r="E231" s="5" t="s">
        <v>575</v>
      </c>
      <c r="F231" s="5" t="s">
        <v>576</v>
      </c>
      <c r="H231" s="7">
        <v>38852.0</v>
      </c>
      <c r="I231" s="5" t="s">
        <v>156</v>
      </c>
      <c r="J231" s="18" t="s">
        <v>39</v>
      </c>
      <c r="K231" s="20">
        <v>368.0</v>
      </c>
      <c r="L231" s="10" t="s">
        <v>35</v>
      </c>
      <c r="M231" s="6" t="str">
        <f t="shared" si="1"/>
        <v/>
      </c>
    </row>
    <row r="232" ht="22.5" customHeight="1">
      <c r="A232" s="5">
        <f t="shared" si="3"/>
        <v>228</v>
      </c>
      <c r="B232" s="5" t="s">
        <v>577</v>
      </c>
      <c r="C232" s="5" t="s">
        <v>14</v>
      </c>
      <c r="D232" s="6" t="str">
        <f>IFERROR(__xludf.DUMMYFUNCTION("INDEX(IMPORTDATA(""https://raw.githubusercontent.com/lukes/ISO-3166-Countries-with-Regional-Codes/master/all/all.csv""), MATCH(C232, INDEX(IMPORTDATA(""https://raw.githubusercontent.com/lukes/ISO-3166-Countries-with-Regional-Codes/master/all/all.csv""), 0"&amp;", 1), 0), 2)"),"NP")</f>
        <v>NP</v>
      </c>
      <c r="E232" s="5">
        <v>9.851193016E9</v>
      </c>
      <c r="F232" s="5" t="s">
        <v>578</v>
      </c>
      <c r="G232" s="5">
        <v>4807426.0</v>
      </c>
      <c r="H232" s="7">
        <v>32799.0</v>
      </c>
      <c r="I232" s="5" t="s">
        <v>156</v>
      </c>
      <c r="J232" s="18" t="s">
        <v>39</v>
      </c>
      <c r="K232" s="20">
        <v>369.0</v>
      </c>
      <c r="L232" s="10" t="s">
        <v>18</v>
      </c>
      <c r="M232" s="6" t="str">
        <f t="shared" si="1"/>
        <v/>
      </c>
    </row>
    <row r="233" ht="22.5" customHeight="1">
      <c r="A233" s="5">
        <f t="shared" si="3"/>
        <v>229</v>
      </c>
      <c r="B233" s="5" t="s">
        <v>579</v>
      </c>
      <c r="C233" s="5" t="s">
        <v>14</v>
      </c>
      <c r="D233" s="6" t="str">
        <f>IFERROR(__xludf.DUMMYFUNCTION("INDEX(IMPORTDATA(""https://raw.githubusercontent.com/lukes/ISO-3166-Countries-with-Regional-Codes/master/all/all.csv""), MATCH(C233, INDEX(IMPORTDATA(""https://raw.githubusercontent.com/lukes/ISO-3166-Countries-with-Regional-Codes/master/all/all.csv""), 0"&amp;", 1), 0), 2)"),"NP")</f>
        <v>NP</v>
      </c>
      <c r="E233" s="5" t="s">
        <v>580</v>
      </c>
      <c r="F233" s="5" t="s">
        <v>581</v>
      </c>
      <c r="H233" s="7">
        <v>32674.0</v>
      </c>
      <c r="I233" s="5" t="s">
        <v>156</v>
      </c>
      <c r="J233" s="18" t="s">
        <v>39</v>
      </c>
      <c r="K233" s="20">
        <v>370.0</v>
      </c>
      <c r="L233" s="10" t="s">
        <v>18</v>
      </c>
      <c r="M233" s="6" t="str">
        <f t="shared" si="1"/>
        <v/>
      </c>
    </row>
    <row r="234" ht="22.5" customHeight="1">
      <c r="A234" s="5">
        <f t="shared" si="3"/>
        <v>230</v>
      </c>
      <c r="B234" s="5" t="s">
        <v>582</v>
      </c>
      <c r="C234" s="5" t="s">
        <v>14</v>
      </c>
      <c r="D234" s="6" t="str">
        <f>IFERROR(__xludf.DUMMYFUNCTION("INDEX(IMPORTDATA(""https://raw.githubusercontent.com/lukes/ISO-3166-Countries-with-Regional-Codes/master/all/all.csv""), MATCH(C234, INDEX(IMPORTDATA(""https://raw.githubusercontent.com/lukes/ISO-3166-Countries-with-Regional-Codes/master/all/all.csv""), 0"&amp;", 1), 0), 2)"),"NP")</f>
        <v>NP</v>
      </c>
      <c r="E234" s="5" t="s">
        <v>583</v>
      </c>
      <c r="F234" s="5" t="s">
        <v>584</v>
      </c>
      <c r="H234" s="7">
        <v>38000.0</v>
      </c>
      <c r="I234" s="5" t="s">
        <v>156</v>
      </c>
      <c r="J234" s="18" t="s">
        <v>39</v>
      </c>
      <c r="K234" s="20">
        <v>371.0</v>
      </c>
      <c r="L234" s="10" t="s">
        <v>89</v>
      </c>
      <c r="M234" s="6" t="str">
        <f t="shared" si="1"/>
        <v/>
      </c>
    </row>
    <row r="235" ht="22.5" customHeight="1">
      <c r="A235" s="5">
        <f t="shared" si="3"/>
        <v>231</v>
      </c>
      <c r="B235" s="5" t="s">
        <v>585</v>
      </c>
      <c r="C235" s="5" t="s">
        <v>14</v>
      </c>
      <c r="D235" s="6" t="str">
        <f>IFERROR(__xludf.DUMMYFUNCTION("INDEX(IMPORTDATA(""https://raw.githubusercontent.com/lukes/ISO-3166-Countries-with-Regional-Codes/master/all/all.csv""), MATCH(C235, INDEX(IMPORTDATA(""https://raw.githubusercontent.com/lukes/ISO-3166-Countries-with-Regional-Codes/master/all/all.csv""), 0"&amp;", 1), 0), 2)"),"NP")</f>
        <v>NP</v>
      </c>
      <c r="E235" s="5">
        <v>9.813256819E9</v>
      </c>
      <c r="F235" s="5" t="s">
        <v>586</v>
      </c>
      <c r="H235" s="7">
        <v>35359.0</v>
      </c>
      <c r="I235" s="5" t="s">
        <v>156</v>
      </c>
      <c r="J235" s="18" t="s">
        <v>39</v>
      </c>
      <c r="K235" s="20">
        <v>372.0</v>
      </c>
      <c r="L235" s="10" t="s">
        <v>35</v>
      </c>
      <c r="M235" s="6" t="str">
        <f t="shared" si="1"/>
        <v/>
      </c>
    </row>
    <row r="236" ht="22.5" customHeight="1">
      <c r="A236" s="5">
        <f t="shared" si="3"/>
        <v>232</v>
      </c>
      <c r="B236" s="5" t="s">
        <v>587</v>
      </c>
      <c r="C236" s="5" t="s">
        <v>14</v>
      </c>
      <c r="D236" s="6" t="str">
        <f>IFERROR(__xludf.DUMMYFUNCTION("INDEX(IMPORTDATA(""https://raw.githubusercontent.com/lukes/ISO-3166-Countries-with-Regional-Codes/master/all/all.csv""), MATCH(C236, INDEX(IMPORTDATA(""https://raw.githubusercontent.com/lukes/ISO-3166-Countries-with-Regional-Codes/master/all/all.csv""), 0"&amp;", 1), 0), 2)"),"NP")</f>
        <v>NP</v>
      </c>
      <c r="E236" s="5">
        <v>9.828064989E9</v>
      </c>
      <c r="F236" s="5" t="s">
        <v>588</v>
      </c>
      <c r="H236" s="7">
        <v>37094.0</v>
      </c>
      <c r="I236" s="5" t="s">
        <v>156</v>
      </c>
      <c r="J236" s="18" t="s">
        <v>39</v>
      </c>
      <c r="K236" s="20">
        <v>373.0</v>
      </c>
      <c r="L236" s="10" t="s">
        <v>35</v>
      </c>
      <c r="M236" s="6" t="str">
        <f t="shared" si="1"/>
        <v/>
      </c>
    </row>
    <row r="237" ht="22.5" customHeight="1">
      <c r="A237" s="5">
        <f t="shared" si="3"/>
        <v>233</v>
      </c>
      <c r="B237" s="5" t="s">
        <v>589</v>
      </c>
      <c r="C237" s="5" t="s">
        <v>14</v>
      </c>
      <c r="D237" s="6" t="str">
        <f>IFERROR(__xludf.DUMMYFUNCTION("INDEX(IMPORTDATA(""https://raw.githubusercontent.com/lukes/ISO-3166-Countries-with-Regional-Codes/master/all/all.csv""), MATCH(C237, INDEX(IMPORTDATA(""https://raw.githubusercontent.com/lukes/ISO-3166-Countries-with-Regional-Codes/master/all/all.csv""), 0"&amp;", 1), 0), 2)"),"NP")</f>
        <v>NP</v>
      </c>
      <c r="E237" s="5" t="s">
        <v>590</v>
      </c>
      <c r="F237" s="5" t="s">
        <v>591</v>
      </c>
      <c r="H237" s="12">
        <v>36049.0</v>
      </c>
      <c r="I237" s="5" t="s">
        <v>156</v>
      </c>
      <c r="J237" s="18" t="s">
        <v>39</v>
      </c>
      <c r="K237" s="20">
        <v>374.0</v>
      </c>
      <c r="L237" s="10" t="s">
        <v>56</v>
      </c>
      <c r="M237" s="6" t="str">
        <f t="shared" si="1"/>
        <v/>
      </c>
    </row>
    <row r="238" ht="22.5" customHeight="1">
      <c r="A238" s="5">
        <f t="shared" si="3"/>
        <v>234</v>
      </c>
      <c r="B238" s="5" t="s">
        <v>592</v>
      </c>
      <c r="C238" s="5" t="s">
        <v>14</v>
      </c>
      <c r="D238" s="6" t="str">
        <f>IFERROR(__xludf.DUMMYFUNCTION("INDEX(IMPORTDATA(""https://raw.githubusercontent.com/lukes/ISO-3166-Countries-with-Regional-Codes/master/all/all.csv""), MATCH(C238, INDEX(IMPORTDATA(""https://raw.githubusercontent.com/lukes/ISO-3166-Countries-with-Regional-Codes/master/all/all.csv""), 0"&amp;", 1), 0), 2)"),"NP")</f>
        <v>NP</v>
      </c>
      <c r="E238" s="5">
        <v>9.705427543E9</v>
      </c>
      <c r="F238" s="5" t="s">
        <v>593</v>
      </c>
      <c r="H238" s="12">
        <v>36199.0</v>
      </c>
      <c r="I238" s="5" t="s">
        <v>156</v>
      </c>
      <c r="J238" s="18" t="s">
        <v>39</v>
      </c>
      <c r="K238" s="20">
        <v>375.0</v>
      </c>
      <c r="L238" s="10" t="s">
        <v>35</v>
      </c>
      <c r="M238" s="6" t="str">
        <f t="shared" si="1"/>
        <v/>
      </c>
    </row>
    <row r="239" ht="22.5" customHeight="1">
      <c r="A239" s="5">
        <f t="shared" si="3"/>
        <v>235</v>
      </c>
      <c r="B239" s="5" t="s">
        <v>594</v>
      </c>
      <c r="C239" s="5" t="s">
        <v>14</v>
      </c>
      <c r="D239" s="6" t="str">
        <f>IFERROR(__xludf.DUMMYFUNCTION("INDEX(IMPORTDATA(""https://raw.githubusercontent.com/lukes/ISO-3166-Countries-with-Regional-Codes/master/all/all.csv""), MATCH(C239, INDEX(IMPORTDATA(""https://raw.githubusercontent.com/lukes/ISO-3166-Countries-with-Regional-Codes/master/all/all.csv""), 0"&amp;", 1), 0), 2)"),"NP")</f>
        <v>NP</v>
      </c>
      <c r="E239" s="5">
        <v>9.82278432E9</v>
      </c>
      <c r="F239" s="5" t="s">
        <v>595</v>
      </c>
      <c r="H239" s="7">
        <v>33501.0</v>
      </c>
      <c r="I239" s="5" t="s">
        <v>156</v>
      </c>
      <c r="J239" s="18" t="s">
        <v>39</v>
      </c>
      <c r="K239" s="20">
        <v>376.0</v>
      </c>
      <c r="L239" s="10" t="s">
        <v>89</v>
      </c>
      <c r="M239" s="6" t="str">
        <f t="shared" si="1"/>
        <v/>
      </c>
    </row>
    <row r="240" ht="22.5" customHeight="1">
      <c r="A240" s="5">
        <f t="shared" si="3"/>
        <v>236</v>
      </c>
      <c r="B240" s="5" t="s">
        <v>596</v>
      </c>
      <c r="C240" s="5" t="s">
        <v>14</v>
      </c>
      <c r="D240" s="6" t="str">
        <f>IFERROR(__xludf.DUMMYFUNCTION("INDEX(IMPORTDATA(""https://raw.githubusercontent.com/lukes/ISO-3166-Countries-with-Regional-Codes/master/all/all.csv""), MATCH(C240, INDEX(IMPORTDATA(""https://raw.githubusercontent.com/lukes/ISO-3166-Countries-with-Regional-Codes/master/all/all.csv""), 0"&amp;", 1), 0), 2)"),"NP")</f>
        <v>NP</v>
      </c>
      <c r="E240" s="5">
        <v>9.817096696E9</v>
      </c>
      <c r="F240" s="5" t="s">
        <v>597</v>
      </c>
      <c r="G240" s="5">
        <v>6148800.0</v>
      </c>
      <c r="H240" s="7">
        <v>34653.0</v>
      </c>
      <c r="I240" s="5" t="s">
        <v>156</v>
      </c>
      <c r="J240" s="18" t="s">
        <v>39</v>
      </c>
      <c r="K240" s="20">
        <v>377.0</v>
      </c>
      <c r="L240" s="10" t="s">
        <v>35</v>
      </c>
      <c r="M240" s="6" t="str">
        <f t="shared" si="1"/>
        <v/>
      </c>
    </row>
    <row r="241" ht="22.5" customHeight="1">
      <c r="A241" s="5">
        <f t="shared" si="3"/>
        <v>237</v>
      </c>
      <c r="B241" s="5" t="s">
        <v>598</v>
      </c>
      <c r="C241" s="5" t="s">
        <v>14</v>
      </c>
      <c r="D241" s="6" t="str">
        <f>IFERROR(__xludf.DUMMYFUNCTION("INDEX(IMPORTDATA(""https://raw.githubusercontent.com/lukes/ISO-3166-Countries-with-Regional-Codes/master/all/all.csv""), MATCH(C241, INDEX(IMPORTDATA(""https://raw.githubusercontent.com/lukes/ISO-3166-Countries-with-Regional-Codes/master/all/all.csv""), 0"&amp;", 1), 0), 2)"),"NP")</f>
        <v>NP</v>
      </c>
      <c r="E241" s="5">
        <v>9.86062868E9</v>
      </c>
      <c r="F241" s="5" t="s">
        <v>599</v>
      </c>
      <c r="G241" s="5">
        <v>4792489.0</v>
      </c>
      <c r="H241" s="12">
        <v>34639.0</v>
      </c>
      <c r="I241" s="5" t="s">
        <v>156</v>
      </c>
      <c r="J241" s="18" t="s">
        <v>39</v>
      </c>
      <c r="K241" s="20">
        <v>378.0</v>
      </c>
      <c r="L241" s="10" t="s">
        <v>29</v>
      </c>
      <c r="M241" s="6" t="str">
        <f t="shared" si="1"/>
        <v/>
      </c>
    </row>
    <row r="242" ht="22.5" customHeight="1">
      <c r="A242" s="5">
        <f t="shared" si="3"/>
        <v>238</v>
      </c>
      <c r="B242" s="5" t="s">
        <v>600</v>
      </c>
      <c r="C242" s="5" t="s">
        <v>14</v>
      </c>
      <c r="D242" s="6" t="str">
        <f>IFERROR(__xludf.DUMMYFUNCTION("INDEX(IMPORTDATA(""https://raw.githubusercontent.com/lukes/ISO-3166-Countries-with-Regional-Codes/master/all/all.csv""), MATCH(C242, INDEX(IMPORTDATA(""https://raw.githubusercontent.com/lukes/ISO-3166-Countries-with-Regional-Codes/master/all/all.csv""), 0"&amp;", 1), 0), 2)"),"NP")</f>
        <v>NP</v>
      </c>
      <c r="E242" s="5" t="s">
        <v>601</v>
      </c>
      <c r="F242" s="5" t="s">
        <v>602</v>
      </c>
      <c r="G242" s="5">
        <v>6996442.0</v>
      </c>
      <c r="H242" s="12">
        <v>20880.0</v>
      </c>
      <c r="I242" s="5" t="s">
        <v>156</v>
      </c>
      <c r="J242" s="18" t="s">
        <v>39</v>
      </c>
      <c r="K242" s="20">
        <v>379.0</v>
      </c>
      <c r="L242" s="10" t="s">
        <v>35</v>
      </c>
      <c r="M242" s="6" t="str">
        <f t="shared" si="1"/>
        <v/>
      </c>
    </row>
    <row r="243" ht="22.5" customHeight="1">
      <c r="A243" s="5">
        <f t="shared" si="3"/>
        <v>239</v>
      </c>
      <c r="B243" s="5" t="s">
        <v>603</v>
      </c>
      <c r="C243" s="5" t="s">
        <v>14</v>
      </c>
      <c r="D243" s="6" t="str">
        <f>IFERROR(__xludf.DUMMYFUNCTION("INDEX(IMPORTDATA(""https://raw.githubusercontent.com/lukes/ISO-3166-Countries-with-Regional-Codes/master/all/all.csv""), MATCH(C243, INDEX(IMPORTDATA(""https://raw.githubusercontent.com/lukes/ISO-3166-Countries-with-Regional-Codes/master/all/all.csv""), 0"&amp;", 1), 0), 2)"),"NP")</f>
        <v>NP</v>
      </c>
      <c r="E243" s="5">
        <v>9.849224477E9</v>
      </c>
      <c r="F243" s="5" t="s">
        <v>604</v>
      </c>
      <c r="H243" s="7">
        <v>33715.0</v>
      </c>
      <c r="I243" s="5" t="s">
        <v>156</v>
      </c>
      <c r="J243" s="18" t="s">
        <v>39</v>
      </c>
      <c r="K243" s="20">
        <v>380.0</v>
      </c>
      <c r="L243" s="10" t="s">
        <v>35</v>
      </c>
      <c r="M243" s="6" t="str">
        <f t="shared" si="1"/>
        <v/>
      </c>
    </row>
    <row r="244" ht="22.5" customHeight="1">
      <c r="A244" s="5">
        <f t="shared" si="3"/>
        <v>240</v>
      </c>
      <c r="B244" s="5" t="s">
        <v>605</v>
      </c>
      <c r="C244" s="5" t="s">
        <v>14</v>
      </c>
      <c r="D244" s="6" t="str">
        <f>IFERROR(__xludf.DUMMYFUNCTION("INDEX(IMPORTDATA(""https://raw.githubusercontent.com/lukes/ISO-3166-Countries-with-Regional-Codes/master/all/all.csv""), MATCH(C244, INDEX(IMPORTDATA(""https://raw.githubusercontent.com/lukes/ISO-3166-Countries-with-Regional-Codes/master/all/all.csv""), 0"&amp;", 1), 0), 2)"),"NP")</f>
        <v>NP</v>
      </c>
      <c r="E244" s="5">
        <v>9.764827022E9</v>
      </c>
      <c r="F244" s="5" t="s">
        <v>606</v>
      </c>
      <c r="G244" s="5">
        <v>7086603.0</v>
      </c>
      <c r="H244" s="12">
        <v>40183.0</v>
      </c>
      <c r="I244" s="5" t="s">
        <v>156</v>
      </c>
      <c r="J244" s="18" t="s">
        <v>39</v>
      </c>
      <c r="K244" s="20">
        <v>381.0</v>
      </c>
      <c r="L244" s="10" t="s">
        <v>18</v>
      </c>
      <c r="M244" s="6" t="str">
        <f t="shared" si="1"/>
        <v/>
      </c>
    </row>
    <row r="245" ht="22.5" customHeight="1">
      <c r="A245" s="5">
        <f t="shared" si="3"/>
        <v>241</v>
      </c>
      <c r="B245" s="5" t="s">
        <v>607</v>
      </c>
      <c r="C245" s="5" t="s">
        <v>14</v>
      </c>
      <c r="D245" s="6" t="str">
        <f>IFERROR(__xludf.DUMMYFUNCTION("INDEX(IMPORTDATA(""https://raw.githubusercontent.com/lukes/ISO-3166-Countries-with-Regional-Codes/master/all/all.csv""), MATCH(C245, INDEX(IMPORTDATA(""https://raw.githubusercontent.com/lukes/ISO-3166-Countries-with-Regional-Codes/master/all/all.csv""), 0"&amp;", 1), 0), 2)"),"NP")</f>
        <v>NP</v>
      </c>
      <c r="E245" s="5">
        <v>9.862617421E9</v>
      </c>
      <c r="F245" s="5" t="s">
        <v>608</v>
      </c>
      <c r="G245" s="5">
        <v>7216181.0</v>
      </c>
      <c r="H245" s="12">
        <v>34765.0</v>
      </c>
      <c r="I245" s="5" t="s">
        <v>156</v>
      </c>
      <c r="J245" s="18" t="s">
        <v>39</v>
      </c>
      <c r="K245" s="20">
        <v>382.0</v>
      </c>
      <c r="L245" s="10" t="s">
        <v>89</v>
      </c>
      <c r="M245" s="6" t="str">
        <f t="shared" si="1"/>
        <v/>
      </c>
    </row>
    <row r="246" ht="22.5" customHeight="1">
      <c r="A246" s="5">
        <f t="shared" si="3"/>
        <v>242</v>
      </c>
      <c r="B246" s="5" t="s">
        <v>609</v>
      </c>
      <c r="C246" s="5" t="s">
        <v>14</v>
      </c>
      <c r="D246" s="6" t="str">
        <f>IFERROR(__xludf.DUMMYFUNCTION("INDEX(IMPORTDATA(""https://raw.githubusercontent.com/lukes/ISO-3166-Countries-with-Regional-Codes/master/all/all.csv""), MATCH(C246, INDEX(IMPORTDATA(""https://raw.githubusercontent.com/lukes/ISO-3166-Countries-with-Regional-Codes/master/all/all.csv""), 0"&amp;", 1), 0), 2)"),"NP")</f>
        <v>NP</v>
      </c>
      <c r="E246" s="5">
        <v>9.810263871E9</v>
      </c>
      <c r="F246" s="5" t="s">
        <v>610</v>
      </c>
      <c r="H246" s="7">
        <v>36976.0</v>
      </c>
      <c r="I246" s="5" t="s">
        <v>156</v>
      </c>
      <c r="J246" s="18" t="s">
        <v>39</v>
      </c>
      <c r="K246" s="20">
        <v>383.0</v>
      </c>
      <c r="L246" s="10" t="s">
        <v>89</v>
      </c>
      <c r="M246" s="6" t="str">
        <f t="shared" si="1"/>
        <v/>
      </c>
    </row>
    <row r="247" ht="22.5" customHeight="1">
      <c r="A247" s="5">
        <f t="shared" si="3"/>
        <v>243</v>
      </c>
      <c r="B247" s="5" t="s">
        <v>611</v>
      </c>
      <c r="C247" s="5" t="s">
        <v>14</v>
      </c>
      <c r="D247" s="6" t="str">
        <f>IFERROR(__xludf.DUMMYFUNCTION("INDEX(IMPORTDATA(""https://raw.githubusercontent.com/lukes/ISO-3166-Countries-with-Regional-Codes/master/all/all.csv""), MATCH(C247, INDEX(IMPORTDATA(""https://raw.githubusercontent.com/lukes/ISO-3166-Countries-with-Regional-Codes/master/all/all.csv""), 0"&amp;", 1), 0), 2)"),"NP")</f>
        <v>NP</v>
      </c>
      <c r="E247" s="5">
        <v>9.869758114E9</v>
      </c>
      <c r="F247" s="5" t="s">
        <v>612</v>
      </c>
      <c r="H247" s="7">
        <v>34998.0</v>
      </c>
      <c r="I247" s="5" t="s">
        <v>156</v>
      </c>
      <c r="J247" s="18" t="s">
        <v>39</v>
      </c>
      <c r="K247" s="20">
        <v>384.0</v>
      </c>
      <c r="L247" s="10" t="s">
        <v>89</v>
      </c>
      <c r="M247" s="6" t="str">
        <f t="shared" si="1"/>
        <v/>
      </c>
    </row>
    <row r="248" ht="22.5" customHeight="1">
      <c r="A248" s="5">
        <f t="shared" si="3"/>
        <v>244</v>
      </c>
      <c r="B248" s="5" t="s">
        <v>613</v>
      </c>
      <c r="C248" s="5" t="s">
        <v>14</v>
      </c>
      <c r="D248" s="6" t="str">
        <f>IFERROR(__xludf.DUMMYFUNCTION("INDEX(IMPORTDATA(""https://raw.githubusercontent.com/lukes/ISO-3166-Countries-with-Regional-Codes/master/all/all.csv""), MATCH(C248, INDEX(IMPORTDATA(""https://raw.githubusercontent.com/lukes/ISO-3166-Countries-with-Regional-Codes/master/all/all.csv""), 0"&amp;", 1), 0), 2)"),"NP")</f>
        <v>NP</v>
      </c>
      <c r="E248" s="5">
        <v>9.860138121E9</v>
      </c>
      <c r="F248" s="5" t="s">
        <v>614</v>
      </c>
      <c r="H248" s="12">
        <v>33215.0</v>
      </c>
      <c r="I248" s="5" t="s">
        <v>156</v>
      </c>
      <c r="J248" s="18" t="s">
        <v>39</v>
      </c>
      <c r="K248" s="20">
        <v>385.0</v>
      </c>
      <c r="L248" s="10" t="s">
        <v>35</v>
      </c>
      <c r="M248" s="6" t="str">
        <f t="shared" si="1"/>
        <v/>
      </c>
    </row>
    <row r="249" ht="22.5" customHeight="1">
      <c r="A249" s="5">
        <f t="shared" si="3"/>
        <v>245</v>
      </c>
      <c r="B249" s="5" t="s">
        <v>615</v>
      </c>
      <c r="C249" s="5" t="s">
        <v>14</v>
      </c>
      <c r="D249" s="6" t="str">
        <f>IFERROR(__xludf.DUMMYFUNCTION("INDEX(IMPORTDATA(""https://raw.githubusercontent.com/lukes/ISO-3166-Countries-with-Regional-Codes/master/all/all.csv""), MATCH(C249, INDEX(IMPORTDATA(""https://raw.githubusercontent.com/lukes/ISO-3166-Countries-with-Regional-Codes/master/all/all.csv""), 0"&amp;", 1), 0), 2)"),"NP")</f>
        <v>NP</v>
      </c>
      <c r="E249" s="5">
        <v>9.808245674E9</v>
      </c>
      <c r="F249" s="5" t="s">
        <v>616</v>
      </c>
      <c r="H249" s="12">
        <v>32456.0</v>
      </c>
      <c r="I249" s="5" t="s">
        <v>156</v>
      </c>
      <c r="J249" s="18" t="s">
        <v>39</v>
      </c>
      <c r="K249" s="20">
        <v>386.0</v>
      </c>
      <c r="L249" s="10" t="s">
        <v>35</v>
      </c>
      <c r="M249" s="6" t="str">
        <f t="shared" si="1"/>
        <v/>
      </c>
    </row>
    <row r="250" ht="22.5" customHeight="1">
      <c r="A250" s="5">
        <f t="shared" si="3"/>
        <v>246</v>
      </c>
      <c r="B250" s="5" t="s">
        <v>617</v>
      </c>
      <c r="C250" s="5" t="s">
        <v>14</v>
      </c>
      <c r="D250" s="6" t="str">
        <f>IFERROR(__xludf.DUMMYFUNCTION("INDEX(IMPORTDATA(""https://raw.githubusercontent.com/lukes/ISO-3166-Countries-with-Regional-Codes/master/all/all.csv""), MATCH(C250, INDEX(IMPORTDATA(""https://raw.githubusercontent.com/lukes/ISO-3166-Countries-with-Regional-Codes/master/all/all.csv""), 0"&amp;", 1), 0), 2)"),"NP")</f>
        <v>NP</v>
      </c>
      <c r="E250" s="5">
        <v>9.847359359E9</v>
      </c>
      <c r="F250" s="5" t="s">
        <v>618</v>
      </c>
      <c r="H250" s="12">
        <v>38205.0</v>
      </c>
      <c r="I250" s="5" t="s">
        <v>156</v>
      </c>
      <c r="J250" s="18" t="s">
        <v>39</v>
      </c>
      <c r="K250" s="20">
        <v>387.0</v>
      </c>
      <c r="L250" s="10" t="s">
        <v>18</v>
      </c>
      <c r="M250" s="6" t="str">
        <f t="shared" si="1"/>
        <v/>
      </c>
    </row>
    <row r="251" ht="22.5" customHeight="1">
      <c r="A251" s="5">
        <f t="shared" si="3"/>
        <v>247</v>
      </c>
      <c r="B251" s="5" t="s">
        <v>619</v>
      </c>
      <c r="C251" s="5" t="s">
        <v>14</v>
      </c>
      <c r="D251" s="6" t="str">
        <f>IFERROR(__xludf.DUMMYFUNCTION("INDEX(IMPORTDATA(""https://raw.githubusercontent.com/lukes/ISO-3166-Countries-with-Regional-Codes/master/all/all.csv""), MATCH(C251, INDEX(IMPORTDATA(""https://raw.githubusercontent.com/lukes/ISO-3166-Countries-with-Regional-Codes/master/all/all.csv""), 0"&amp;", 1), 0), 2)"),"NP")</f>
        <v>NP</v>
      </c>
      <c r="E251" s="5">
        <v>9.803993223E9</v>
      </c>
      <c r="F251" s="5" t="s">
        <v>620</v>
      </c>
      <c r="H251" s="7">
        <v>34617.0</v>
      </c>
      <c r="I251" s="5" t="s">
        <v>156</v>
      </c>
      <c r="J251" s="18" t="s">
        <v>39</v>
      </c>
      <c r="K251" s="20">
        <v>388.0</v>
      </c>
      <c r="L251" s="10" t="s">
        <v>35</v>
      </c>
      <c r="M251" s="6" t="str">
        <f t="shared" si="1"/>
        <v/>
      </c>
    </row>
    <row r="252" ht="22.5" customHeight="1">
      <c r="A252" s="5">
        <f t="shared" si="3"/>
        <v>248</v>
      </c>
      <c r="B252" s="5" t="s">
        <v>621</v>
      </c>
      <c r="C252" s="5" t="s">
        <v>14</v>
      </c>
      <c r="D252" s="6" t="str">
        <f>IFERROR(__xludf.DUMMYFUNCTION("INDEX(IMPORTDATA(""https://raw.githubusercontent.com/lukes/ISO-3166-Countries-with-Regional-Codes/master/all/all.csv""), MATCH(C252, INDEX(IMPORTDATA(""https://raw.githubusercontent.com/lukes/ISO-3166-Countries-with-Regional-Codes/master/all/all.csv""), 0"&amp;", 1), 0), 2)"),"NP")</f>
        <v>NP</v>
      </c>
      <c r="E252" s="5">
        <v>9.81611977E9</v>
      </c>
      <c r="F252" s="5" t="s">
        <v>622</v>
      </c>
      <c r="H252" s="7">
        <v>36736.0</v>
      </c>
      <c r="I252" s="5" t="s">
        <v>156</v>
      </c>
      <c r="J252" s="18" t="s">
        <v>39</v>
      </c>
      <c r="K252" s="20">
        <v>389.0</v>
      </c>
      <c r="L252" s="10" t="s">
        <v>18</v>
      </c>
      <c r="M252" s="6" t="str">
        <f t="shared" si="1"/>
        <v/>
      </c>
    </row>
    <row r="253" ht="22.5" customHeight="1">
      <c r="A253" s="5">
        <f t="shared" si="3"/>
        <v>249</v>
      </c>
      <c r="B253" s="5" t="s">
        <v>623</v>
      </c>
      <c r="C253" s="5" t="s">
        <v>14</v>
      </c>
      <c r="D253" s="6" t="str">
        <f>IFERROR(__xludf.DUMMYFUNCTION("INDEX(IMPORTDATA(""https://raw.githubusercontent.com/lukes/ISO-3166-Countries-with-Regional-Codes/master/all/all.csv""), MATCH(C253, INDEX(IMPORTDATA(""https://raw.githubusercontent.com/lukes/ISO-3166-Countries-with-Regional-Codes/master/all/all.csv""), 0"&amp;", 1), 0), 2)"),"NP")</f>
        <v>NP</v>
      </c>
      <c r="E253" s="5">
        <v>9.841312601E9</v>
      </c>
      <c r="F253" s="5" t="s">
        <v>624</v>
      </c>
      <c r="H253" s="12">
        <v>31324.0</v>
      </c>
      <c r="I253" s="5" t="s">
        <v>156</v>
      </c>
      <c r="J253" s="18" t="s">
        <v>39</v>
      </c>
      <c r="K253" s="20">
        <v>390.0</v>
      </c>
      <c r="L253" s="10" t="s">
        <v>22</v>
      </c>
      <c r="M253" s="6" t="str">
        <f t="shared" si="1"/>
        <v/>
      </c>
    </row>
    <row r="254" ht="22.5" customHeight="1">
      <c r="A254" s="5">
        <f t="shared" si="3"/>
        <v>250</v>
      </c>
      <c r="B254" s="5" t="s">
        <v>625</v>
      </c>
      <c r="C254" s="5" t="s">
        <v>14</v>
      </c>
      <c r="D254" s="6" t="str">
        <f>IFERROR(__xludf.DUMMYFUNCTION("INDEX(IMPORTDATA(""https://raw.githubusercontent.com/lukes/ISO-3166-Countries-with-Regional-Codes/master/all/all.csv""), MATCH(C254, INDEX(IMPORTDATA(""https://raw.githubusercontent.com/lukes/ISO-3166-Countries-with-Regional-Codes/master/all/all.csv""), 0"&amp;", 1), 0), 2)"),"NP")</f>
        <v>NP</v>
      </c>
      <c r="E254" s="5" t="s">
        <v>626</v>
      </c>
      <c r="F254" s="5" t="s">
        <v>627</v>
      </c>
      <c r="H254" s="12">
        <v>35075.0</v>
      </c>
      <c r="I254" s="5" t="s">
        <v>156</v>
      </c>
      <c r="J254" s="18" t="s">
        <v>39</v>
      </c>
      <c r="K254" s="20">
        <v>391.0</v>
      </c>
      <c r="L254" s="10" t="s">
        <v>89</v>
      </c>
      <c r="M254" s="6" t="str">
        <f t="shared" si="1"/>
        <v/>
      </c>
    </row>
    <row r="255" ht="22.5" customHeight="1">
      <c r="A255" s="5">
        <f t="shared" si="3"/>
        <v>251</v>
      </c>
      <c r="B255" s="5" t="s">
        <v>628</v>
      </c>
      <c r="C255" s="5" t="s">
        <v>14</v>
      </c>
      <c r="D255" s="6" t="str">
        <f>IFERROR(__xludf.DUMMYFUNCTION("INDEX(IMPORTDATA(""https://raw.githubusercontent.com/lukes/ISO-3166-Countries-with-Regional-Codes/master/all/all.csv""), MATCH(C255, INDEX(IMPORTDATA(""https://raw.githubusercontent.com/lukes/ISO-3166-Countries-with-Regional-Codes/master/all/all.csv""), 0"&amp;", 1), 0), 2)"),"NP")</f>
        <v>NP</v>
      </c>
      <c r="E255" s="5">
        <v>9.84149396E9</v>
      </c>
      <c r="F255" s="5" t="s">
        <v>629</v>
      </c>
      <c r="H255" s="12">
        <v>24663.0</v>
      </c>
      <c r="I255" s="5" t="s">
        <v>156</v>
      </c>
      <c r="J255" s="18" t="s">
        <v>39</v>
      </c>
      <c r="K255" s="20">
        <v>392.0</v>
      </c>
      <c r="L255" s="10" t="s">
        <v>18</v>
      </c>
      <c r="M255" s="6" t="str">
        <f t="shared" si="1"/>
        <v/>
      </c>
    </row>
    <row r="256" ht="22.5" customHeight="1">
      <c r="A256" s="5">
        <f t="shared" si="3"/>
        <v>252</v>
      </c>
      <c r="B256" s="5" t="s">
        <v>630</v>
      </c>
      <c r="C256" s="5" t="s">
        <v>14</v>
      </c>
      <c r="D256" s="6" t="str">
        <f>IFERROR(__xludf.DUMMYFUNCTION("INDEX(IMPORTDATA(""https://raw.githubusercontent.com/lukes/ISO-3166-Countries-with-Regional-Codes/master/all/all.csv""), MATCH(C256, INDEX(IMPORTDATA(""https://raw.githubusercontent.com/lukes/ISO-3166-Countries-with-Regional-Codes/master/all/all.csv""), 0"&amp;", 1), 0), 2)"),"NP")</f>
        <v>NP</v>
      </c>
      <c r="E256" s="5">
        <v>9.851096806E9</v>
      </c>
      <c r="F256" s="5" t="s">
        <v>631</v>
      </c>
      <c r="H256" s="12">
        <v>26421.0</v>
      </c>
      <c r="I256" s="5" t="s">
        <v>156</v>
      </c>
      <c r="J256" s="18" t="s">
        <v>39</v>
      </c>
      <c r="K256" s="20">
        <v>393.0</v>
      </c>
      <c r="L256" s="10" t="s">
        <v>18</v>
      </c>
      <c r="M256" s="6" t="str">
        <f t="shared" si="1"/>
        <v/>
      </c>
    </row>
    <row r="257" ht="22.5" customHeight="1">
      <c r="A257" s="5">
        <f t="shared" si="3"/>
        <v>253</v>
      </c>
      <c r="B257" s="5" t="s">
        <v>632</v>
      </c>
      <c r="C257" s="5" t="s">
        <v>14</v>
      </c>
      <c r="D257" s="6" t="str">
        <f>IFERROR(__xludf.DUMMYFUNCTION("INDEX(IMPORTDATA(""https://raw.githubusercontent.com/lukes/ISO-3166-Countries-with-Regional-Codes/master/all/all.csv""), MATCH(C257, INDEX(IMPORTDATA(""https://raw.githubusercontent.com/lukes/ISO-3166-Countries-with-Regional-Codes/master/all/all.csv""), 0"&amp;", 1), 0), 2)"),"NP")</f>
        <v>NP</v>
      </c>
      <c r="E257" s="5">
        <v>9.841604578E9</v>
      </c>
      <c r="F257" s="5" t="s">
        <v>633</v>
      </c>
      <c r="H257" s="7">
        <v>30740.0</v>
      </c>
      <c r="I257" s="5" t="s">
        <v>156</v>
      </c>
      <c r="J257" s="18" t="s">
        <v>39</v>
      </c>
      <c r="K257" s="20">
        <v>394.0</v>
      </c>
      <c r="L257" s="10" t="s">
        <v>29</v>
      </c>
      <c r="M257" s="6" t="str">
        <f t="shared" si="1"/>
        <v/>
      </c>
    </row>
    <row r="258" ht="22.5" customHeight="1">
      <c r="A258" s="5">
        <f t="shared" si="3"/>
        <v>254</v>
      </c>
      <c r="B258" s="5" t="s">
        <v>634</v>
      </c>
      <c r="C258" s="5" t="s">
        <v>14</v>
      </c>
      <c r="D258" s="6" t="str">
        <f>IFERROR(__xludf.DUMMYFUNCTION("INDEX(IMPORTDATA(""https://raw.githubusercontent.com/lukes/ISO-3166-Countries-with-Regional-Codes/master/all/all.csv""), MATCH(C258, INDEX(IMPORTDATA(""https://raw.githubusercontent.com/lukes/ISO-3166-Countries-with-Regional-Codes/master/all/all.csv""), 0"&amp;", 1), 0), 2)"),"NP")</f>
        <v>NP</v>
      </c>
      <c r="E258" s="5">
        <v>9.70808103E9</v>
      </c>
      <c r="F258" s="5" t="s">
        <v>635</v>
      </c>
      <c r="H258" s="7">
        <v>39339.0</v>
      </c>
      <c r="I258" s="5" t="s">
        <v>156</v>
      </c>
      <c r="J258" s="18" t="s">
        <v>39</v>
      </c>
      <c r="K258" s="20">
        <v>395.0</v>
      </c>
      <c r="L258" s="10" t="s">
        <v>35</v>
      </c>
      <c r="M258" s="6" t="str">
        <f t="shared" si="1"/>
        <v/>
      </c>
    </row>
    <row r="259" ht="22.5" customHeight="1">
      <c r="A259" s="5">
        <f t="shared" si="3"/>
        <v>255</v>
      </c>
      <c r="B259" s="5" t="s">
        <v>636</v>
      </c>
      <c r="C259" s="5" t="s">
        <v>14</v>
      </c>
      <c r="D259" s="6" t="str">
        <f>IFERROR(__xludf.DUMMYFUNCTION("INDEX(IMPORTDATA(""https://raw.githubusercontent.com/lukes/ISO-3166-Countries-with-Regional-Codes/master/all/all.csv""), MATCH(C259, INDEX(IMPORTDATA(""https://raw.githubusercontent.com/lukes/ISO-3166-Countries-with-Regional-Codes/master/all/all.csv""), 0"&amp;", 1), 0), 2)"),"NP")</f>
        <v>NP</v>
      </c>
      <c r="E259" s="5">
        <v>9.841992271E9</v>
      </c>
      <c r="F259" s="5" t="s">
        <v>637</v>
      </c>
      <c r="H259" s="7">
        <v>30637.0</v>
      </c>
      <c r="I259" s="5" t="s">
        <v>156</v>
      </c>
      <c r="J259" s="18" t="s">
        <v>39</v>
      </c>
      <c r="K259" s="20">
        <v>396.0</v>
      </c>
      <c r="L259" s="10" t="s">
        <v>35</v>
      </c>
      <c r="M259" s="6" t="str">
        <f t="shared" si="1"/>
        <v/>
      </c>
    </row>
    <row r="260" ht="22.5" customHeight="1">
      <c r="A260" s="5">
        <f t="shared" si="3"/>
        <v>256</v>
      </c>
      <c r="B260" s="5" t="s">
        <v>638</v>
      </c>
      <c r="C260" s="5" t="s">
        <v>14</v>
      </c>
      <c r="D260" s="6" t="str">
        <f>IFERROR(__xludf.DUMMYFUNCTION("INDEX(IMPORTDATA(""https://raw.githubusercontent.com/lukes/ISO-3166-Countries-with-Regional-Codes/master/all/all.csv""), MATCH(C260, INDEX(IMPORTDATA(""https://raw.githubusercontent.com/lukes/ISO-3166-Countries-with-Regional-Codes/master/all/all.csv""), 0"&amp;", 1), 0), 2)"),"NP")</f>
        <v>NP</v>
      </c>
      <c r="E260" s="5">
        <v>9.801045823E9</v>
      </c>
      <c r="F260" s="5" t="s">
        <v>639</v>
      </c>
      <c r="H260" s="12">
        <v>29103.0</v>
      </c>
      <c r="I260" s="5" t="s">
        <v>156</v>
      </c>
      <c r="J260" s="18" t="s">
        <v>39</v>
      </c>
      <c r="K260" s="20">
        <v>397.0</v>
      </c>
      <c r="L260" s="10" t="s">
        <v>35</v>
      </c>
      <c r="M260" s="6" t="str">
        <f t="shared" si="1"/>
        <v/>
      </c>
    </row>
    <row r="261" ht="22.5" customHeight="1">
      <c r="A261" s="5">
        <f t="shared" si="3"/>
        <v>257</v>
      </c>
      <c r="B261" s="5" t="s">
        <v>640</v>
      </c>
      <c r="C261" s="5" t="s">
        <v>14</v>
      </c>
      <c r="D261" s="6" t="str">
        <f>IFERROR(__xludf.DUMMYFUNCTION("INDEX(IMPORTDATA(""https://raw.githubusercontent.com/lukes/ISO-3166-Countries-with-Regional-Codes/master/all/all.csv""), MATCH(C261, INDEX(IMPORTDATA(""https://raw.githubusercontent.com/lukes/ISO-3166-Countries-with-Regional-Codes/master/all/all.csv""), 0"&amp;", 1), 0), 2)"),"NP")</f>
        <v>NP</v>
      </c>
      <c r="E261" s="5">
        <v>9.841699311E9</v>
      </c>
      <c r="F261" s="5" t="s">
        <v>641</v>
      </c>
      <c r="H261" s="7">
        <v>40470.0</v>
      </c>
      <c r="I261" s="5" t="s">
        <v>156</v>
      </c>
      <c r="J261" s="18" t="s">
        <v>39</v>
      </c>
      <c r="K261" s="20">
        <v>398.0</v>
      </c>
      <c r="L261" s="10" t="s">
        <v>89</v>
      </c>
      <c r="M261" s="6" t="str">
        <f t="shared" si="1"/>
        <v/>
      </c>
    </row>
    <row r="262" ht="22.5" customHeight="1">
      <c r="A262" s="5">
        <f t="shared" si="3"/>
        <v>258</v>
      </c>
      <c r="B262" s="5" t="s">
        <v>642</v>
      </c>
      <c r="C262" s="5" t="s">
        <v>14</v>
      </c>
      <c r="D262" s="6" t="str">
        <f>IFERROR(__xludf.DUMMYFUNCTION("INDEX(IMPORTDATA(""https://raw.githubusercontent.com/lukes/ISO-3166-Countries-with-Regional-Codes/master/all/all.csv""), MATCH(C262, INDEX(IMPORTDATA(""https://raw.githubusercontent.com/lukes/ISO-3166-Countries-with-Regional-Codes/master/all/all.csv""), 0"&amp;", 1), 0), 2)"),"NP")</f>
        <v>NP</v>
      </c>
      <c r="E262" s="5">
        <v>9.816990716E9</v>
      </c>
      <c r="F262" s="5" t="s">
        <v>643</v>
      </c>
      <c r="H262" s="7">
        <v>38256.0</v>
      </c>
      <c r="I262" s="5" t="s">
        <v>156</v>
      </c>
      <c r="J262" s="18" t="s">
        <v>39</v>
      </c>
      <c r="K262" s="20">
        <v>399.0</v>
      </c>
      <c r="L262" s="10" t="s">
        <v>35</v>
      </c>
      <c r="M262" s="6" t="str">
        <f t="shared" si="1"/>
        <v/>
      </c>
    </row>
    <row r="263" ht="22.5" customHeight="1">
      <c r="A263" s="5">
        <f t="shared" si="3"/>
        <v>259</v>
      </c>
      <c r="B263" s="5" t="s">
        <v>644</v>
      </c>
      <c r="C263" s="5" t="s">
        <v>14</v>
      </c>
      <c r="D263" s="6" t="str">
        <f>IFERROR(__xludf.DUMMYFUNCTION("INDEX(IMPORTDATA(""https://raw.githubusercontent.com/lukes/ISO-3166-Countries-with-Regional-Codes/master/all/all.csv""), MATCH(C263, INDEX(IMPORTDATA(""https://raw.githubusercontent.com/lukes/ISO-3166-Countries-with-Regional-Codes/master/all/all.csv""), 0"&amp;", 1), 0), 2)"),"NP")</f>
        <v>NP</v>
      </c>
      <c r="E263" s="5">
        <v>9.768411099E9</v>
      </c>
      <c r="F263" s="5" t="s">
        <v>645</v>
      </c>
      <c r="H263" s="7">
        <v>39494.0</v>
      </c>
      <c r="I263" s="5" t="s">
        <v>156</v>
      </c>
      <c r="J263" s="18" t="s">
        <v>39</v>
      </c>
      <c r="K263" s="20">
        <v>400.0</v>
      </c>
      <c r="L263" s="10" t="s">
        <v>35</v>
      </c>
      <c r="M263" s="6" t="str">
        <f t="shared" si="1"/>
        <v/>
      </c>
    </row>
    <row r="264" ht="22.5" customHeight="1">
      <c r="A264" s="5">
        <f t="shared" si="3"/>
        <v>260</v>
      </c>
      <c r="B264" s="5" t="s">
        <v>646</v>
      </c>
      <c r="C264" s="5" t="s">
        <v>14</v>
      </c>
      <c r="D264" s="6" t="str">
        <f>IFERROR(__xludf.DUMMYFUNCTION("INDEX(IMPORTDATA(""https://raw.githubusercontent.com/lukes/ISO-3166-Countries-with-Regional-Codes/master/all/all.csv""), MATCH(C264, INDEX(IMPORTDATA(""https://raw.githubusercontent.com/lukes/ISO-3166-Countries-with-Regional-Codes/master/all/all.csv""), 0"&amp;", 1), 0), 2)"),"NP")</f>
        <v>NP</v>
      </c>
      <c r="E264" s="5" t="s">
        <v>647</v>
      </c>
      <c r="F264" s="5" t="s">
        <v>648</v>
      </c>
      <c r="H264" s="7">
        <v>39377.0</v>
      </c>
      <c r="I264" s="5" t="s">
        <v>156</v>
      </c>
      <c r="J264" s="18" t="s">
        <v>39</v>
      </c>
      <c r="K264" s="20">
        <v>401.0</v>
      </c>
      <c r="L264" s="10" t="s">
        <v>35</v>
      </c>
      <c r="M264" s="6" t="str">
        <f t="shared" si="1"/>
        <v/>
      </c>
    </row>
    <row r="265" ht="22.5" customHeight="1">
      <c r="A265" s="5">
        <f t="shared" si="3"/>
        <v>261</v>
      </c>
      <c r="B265" s="5" t="s">
        <v>649</v>
      </c>
      <c r="C265" s="5" t="s">
        <v>14</v>
      </c>
      <c r="D265" s="6" t="str">
        <f>IFERROR(__xludf.DUMMYFUNCTION("INDEX(IMPORTDATA(""https://raw.githubusercontent.com/lukes/ISO-3166-Countries-with-Regional-Codes/master/all/all.csv""), MATCH(C265, INDEX(IMPORTDATA(""https://raw.githubusercontent.com/lukes/ISO-3166-Countries-with-Regional-Codes/master/all/all.csv""), 0"&amp;", 1), 0), 2)"),"NP")</f>
        <v>NP</v>
      </c>
      <c r="E265" s="5">
        <v>9.74181287E9</v>
      </c>
      <c r="F265" s="5" t="s">
        <v>650</v>
      </c>
      <c r="H265" s="12">
        <v>38753.0</v>
      </c>
      <c r="I265" s="5" t="s">
        <v>156</v>
      </c>
      <c r="J265" s="18" t="s">
        <v>39</v>
      </c>
      <c r="K265" s="20">
        <v>402.0</v>
      </c>
      <c r="L265" s="10" t="s">
        <v>89</v>
      </c>
      <c r="M265" s="6" t="str">
        <f t="shared" si="1"/>
        <v/>
      </c>
    </row>
    <row r="266" ht="22.5" customHeight="1">
      <c r="A266" s="5">
        <f t="shared" si="3"/>
        <v>262</v>
      </c>
      <c r="B266" s="5" t="s">
        <v>651</v>
      </c>
      <c r="C266" s="5" t="s">
        <v>14</v>
      </c>
      <c r="D266" s="6" t="str">
        <f>IFERROR(__xludf.DUMMYFUNCTION("INDEX(IMPORTDATA(""https://raw.githubusercontent.com/lukes/ISO-3166-Countries-with-Regional-Codes/master/all/all.csv""), MATCH(C266, INDEX(IMPORTDATA(""https://raw.githubusercontent.com/lukes/ISO-3166-Countries-with-Regional-Codes/master/all/all.csv""), 0"&amp;", 1), 0), 2)"),"NP")</f>
        <v>NP</v>
      </c>
      <c r="E266" s="5">
        <v>9.851021985E9</v>
      </c>
      <c r="F266" s="5" t="s">
        <v>652</v>
      </c>
      <c r="H266" s="7">
        <v>24801.0</v>
      </c>
      <c r="I266" s="5" t="s">
        <v>156</v>
      </c>
      <c r="J266" s="18" t="s">
        <v>39</v>
      </c>
      <c r="K266" s="20">
        <v>403.0</v>
      </c>
      <c r="L266" s="10" t="s">
        <v>35</v>
      </c>
      <c r="M266" s="6" t="str">
        <f t="shared" si="1"/>
        <v/>
      </c>
    </row>
    <row r="267" ht="22.5" customHeight="1">
      <c r="A267" s="5">
        <f t="shared" si="3"/>
        <v>263</v>
      </c>
      <c r="B267" s="5" t="s">
        <v>653</v>
      </c>
      <c r="C267" s="5" t="s">
        <v>14</v>
      </c>
      <c r="D267" s="6" t="str">
        <f>IFERROR(__xludf.DUMMYFUNCTION("INDEX(IMPORTDATA(""https://raw.githubusercontent.com/lukes/ISO-3166-Countries-with-Regional-Codes/master/all/all.csv""), MATCH(C267, INDEX(IMPORTDATA(""https://raw.githubusercontent.com/lukes/ISO-3166-Countries-with-Regional-Codes/master/all/all.csv""), 0"&amp;", 1), 0), 2)"),"NP")</f>
        <v>NP</v>
      </c>
      <c r="E267" s="5" t="s">
        <v>654</v>
      </c>
      <c r="F267" s="5" t="s">
        <v>655</v>
      </c>
      <c r="H267" s="7">
        <v>32593.0</v>
      </c>
      <c r="I267" s="5" t="s">
        <v>156</v>
      </c>
      <c r="J267" s="18" t="s">
        <v>39</v>
      </c>
      <c r="K267" s="20">
        <v>404.0</v>
      </c>
      <c r="L267" s="10" t="s">
        <v>89</v>
      </c>
      <c r="M267" s="6" t="str">
        <f t="shared" si="1"/>
        <v/>
      </c>
    </row>
    <row r="268" ht="22.5" customHeight="1">
      <c r="A268" s="5">
        <f t="shared" si="3"/>
        <v>264</v>
      </c>
      <c r="B268" s="5" t="s">
        <v>656</v>
      </c>
      <c r="C268" s="5" t="s">
        <v>14</v>
      </c>
      <c r="D268" s="6" t="str">
        <f>IFERROR(__xludf.DUMMYFUNCTION("INDEX(IMPORTDATA(""https://raw.githubusercontent.com/lukes/ISO-3166-Countries-with-Regional-Codes/master/all/all.csv""), MATCH(C268, INDEX(IMPORTDATA(""https://raw.githubusercontent.com/lukes/ISO-3166-Countries-with-Regional-Codes/master/all/all.csv""), 0"&amp;", 1), 0), 2)"),"NP")</f>
        <v>NP</v>
      </c>
      <c r="E268" s="5">
        <v>9.744235645E9</v>
      </c>
      <c r="F268" s="5" t="s">
        <v>657</v>
      </c>
      <c r="G268" s="5">
        <v>7207478.0</v>
      </c>
      <c r="H268" s="7">
        <v>36797.0</v>
      </c>
      <c r="I268" s="5" t="s">
        <v>156</v>
      </c>
      <c r="J268" s="18" t="s">
        <v>39</v>
      </c>
      <c r="K268" s="20">
        <v>405.0</v>
      </c>
      <c r="L268" s="10" t="s">
        <v>35</v>
      </c>
      <c r="M268" s="6" t="str">
        <f t="shared" si="1"/>
        <v/>
      </c>
    </row>
    <row r="269" ht="22.5" customHeight="1">
      <c r="A269" s="5">
        <f t="shared" si="3"/>
        <v>265</v>
      </c>
      <c r="B269" s="5" t="s">
        <v>658</v>
      </c>
      <c r="C269" s="5" t="s">
        <v>14</v>
      </c>
      <c r="D269" s="6" t="str">
        <f>IFERROR(__xludf.DUMMYFUNCTION("INDEX(IMPORTDATA(""https://raw.githubusercontent.com/lukes/ISO-3166-Countries-with-Regional-Codes/master/all/all.csv""), MATCH(C269, INDEX(IMPORTDATA(""https://raw.githubusercontent.com/lukes/ISO-3166-Countries-with-Regional-Codes/master/all/all.csv""), 0"&amp;", 1), 0), 2)"),"NP")</f>
        <v>NP</v>
      </c>
      <c r="E269" s="5" t="s">
        <v>659</v>
      </c>
      <c r="F269" s="5" t="s">
        <v>660</v>
      </c>
      <c r="H269" s="12">
        <v>35313.0</v>
      </c>
      <c r="I269" s="5" t="s">
        <v>156</v>
      </c>
      <c r="J269" s="18" t="s">
        <v>39</v>
      </c>
      <c r="K269" s="20">
        <v>406.0</v>
      </c>
      <c r="L269" s="10" t="s">
        <v>18</v>
      </c>
      <c r="M269" s="6" t="str">
        <f t="shared" si="1"/>
        <v/>
      </c>
    </row>
    <row r="270" ht="22.5" customHeight="1">
      <c r="A270" s="5">
        <f t="shared" si="3"/>
        <v>266</v>
      </c>
      <c r="B270" s="5" t="s">
        <v>661</v>
      </c>
      <c r="C270" s="5" t="s">
        <v>14</v>
      </c>
      <c r="D270" s="6" t="str">
        <f>IFERROR(__xludf.DUMMYFUNCTION("INDEX(IMPORTDATA(""https://raw.githubusercontent.com/lukes/ISO-3166-Countries-with-Regional-Codes/master/all/all.csv""), MATCH(C270, INDEX(IMPORTDATA(""https://raw.githubusercontent.com/lukes/ISO-3166-Countries-with-Regional-Codes/master/all/all.csv""), 0"&amp;", 1), 0), 2)"),"NP")</f>
        <v>NP</v>
      </c>
      <c r="E270" s="5" t="s">
        <v>662</v>
      </c>
      <c r="F270" s="5" t="s">
        <v>663</v>
      </c>
      <c r="H270" s="7">
        <v>33161.0</v>
      </c>
      <c r="I270" s="5" t="s">
        <v>156</v>
      </c>
      <c r="J270" s="18" t="s">
        <v>39</v>
      </c>
      <c r="K270" s="20">
        <v>407.0</v>
      </c>
      <c r="L270" s="10" t="s">
        <v>22</v>
      </c>
      <c r="M270" s="6" t="str">
        <f t="shared" si="1"/>
        <v/>
      </c>
    </row>
    <row r="271" ht="22.5" customHeight="1">
      <c r="A271" s="5">
        <f t="shared" si="3"/>
        <v>267</v>
      </c>
      <c r="B271" s="5" t="s">
        <v>664</v>
      </c>
      <c r="C271" s="5" t="s">
        <v>14</v>
      </c>
      <c r="D271" s="6" t="str">
        <f>IFERROR(__xludf.DUMMYFUNCTION("INDEX(IMPORTDATA(""https://raw.githubusercontent.com/lukes/ISO-3166-Countries-with-Regional-Codes/master/all/all.csv""), MATCH(C271, INDEX(IMPORTDATA(""https://raw.githubusercontent.com/lukes/ISO-3166-Countries-with-Regional-Codes/master/all/all.csv""), 0"&amp;", 1), 0), 2)"),"NP")</f>
        <v>NP</v>
      </c>
      <c r="E271" s="5" t="s">
        <v>665</v>
      </c>
      <c r="F271" s="5" t="s">
        <v>663</v>
      </c>
      <c r="H271" s="12">
        <v>32145.0</v>
      </c>
      <c r="I271" s="5" t="s">
        <v>156</v>
      </c>
      <c r="J271" s="18" t="s">
        <v>39</v>
      </c>
      <c r="K271" s="20">
        <v>408.0</v>
      </c>
      <c r="L271" s="10" t="s">
        <v>22</v>
      </c>
      <c r="M271" s="6" t="str">
        <f t="shared" si="1"/>
        <v/>
      </c>
    </row>
    <row r="272" ht="22.5" customHeight="1">
      <c r="A272" s="5">
        <f t="shared" si="3"/>
        <v>268</v>
      </c>
      <c r="B272" s="5" t="s">
        <v>666</v>
      </c>
      <c r="C272" s="5" t="s">
        <v>14</v>
      </c>
      <c r="D272" s="6" t="str">
        <f>IFERROR(__xludf.DUMMYFUNCTION("INDEX(IMPORTDATA(""https://raw.githubusercontent.com/lukes/ISO-3166-Countries-with-Regional-Codes/master/all/all.csv""), MATCH(C272, INDEX(IMPORTDATA(""https://raw.githubusercontent.com/lukes/ISO-3166-Countries-with-Regional-Codes/master/all/all.csv""), 0"&amp;", 1), 0), 2)"),"NP")</f>
        <v>NP</v>
      </c>
      <c r="E272" s="5">
        <v>9.866014893E9</v>
      </c>
      <c r="F272" s="5" t="s">
        <v>667</v>
      </c>
      <c r="H272" s="12">
        <v>36683.0</v>
      </c>
      <c r="I272" s="5" t="s">
        <v>156</v>
      </c>
      <c r="J272" s="18" t="s">
        <v>39</v>
      </c>
      <c r="K272" s="20">
        <v>409.0</v>
      </c>
      <c r="L272" s="10" t="s">
        <v>18</v>
      </c>
      <c r="M272" s="6" t="str">
        <f t="shared" si="1"/>
        <v/>
      </c>
    </row>
    <row r="273" ht="22.5" customHeight="1">
      <c r="A273" s="5">
        <f t="shared" si="3"/>
        <v>269</v>
      </c>
      <c r="B273" s="5" t="s">
        <v>668</v>
      </c>
      <c r="C273" s="5" t="s">
        <v>14</v>
      </c>
      <c r="D273" s="6" t="str">
        <f>IFERROR(__xludf.DUMMYFUNCTION("INDEX(IMPORTDATA(""https://raw.githubusercontent.com/lukes/ISO-3166-Countries-with-Regional-Codes/master/all/all.csv""), MATCH(C273, INDEX(IMPORTDATA(""https://raw.githubusercontent.com/lukes/ISO-3166-Countries-with-Regional-Codes/master/all/all.csv""), 0"&amp;", 1), 0), 2)"),"NP")</f>
        <v>NP</v>
      </c>
      <c r="E273" s="5">
        <v>9.767255328E9</v>
      </c>
      <c r="F273" s="5" t="s">
        <v>669</v>
      </c>
      <c r="H273" s="7">
        <v>35764.0</v>
      </c>
      <c r="I273" s="5" t="s">
        <v>156</v>
      </c>
      <c r="J273" s="18" t="s">
        <v>39</v>
      </c>
      <c r="K273" s="20">
        <v>410.0</v>
      </c>
      <c r="L273" s="10" t="s">
        <v>18</v>
      </c>
      <c r="M273" s="6" t="str">
        <f t="shared" si="1"/>
        <v/>
      </c>
    </row>
    <row r="274" ht="22.5" customHeight="1">
      <c r="A274" s="5">
        <f t="shared" si="3"/>
        <v>270</v>
      </c>
      <c r="B274" s="5" t="s">
        <v>670</v>
      </c>
      <c r="C274" s="5" t="s">
        <v>14</v>
      </c>
      <c r="D274" s="6" t="str">
        <f>IFERROR(__xludf.DUMMYFUNCTION("INDEX(IMPORTDATA(""https://raw.githubusercontent.com/lukes/ISO-3166-Countries-with-Regional-Codes/master/all/all.csv""), MATCH(C274, INDEX(IMPORTDATA(""https://raw.githubusercontent.com/lukes/ISO-3166-Countries-with-Regional-Codes/master/all/all.csv""), 0"&amp;", 1), 0), 2)"),"NP")</f>
        <v>NP</v>
      </c>
      <c r="E274" s="5" t="s">
        <v>671</v>
      </c>
      <c r="F274" s="5" t="s">
        <v>672</v>
      </c>
      <c r="G274" s="5">
        <v>7199397.0</v>
      </c>
      <c r="H274" s="7">
        <v>31161.0</v>
      </c>
      <c r="I274" s="5" t="s">
        <v>156</v>
      </c>
      <c r="J274" s="18" t="s">
        <v>39</v>
      </c>
      <c r="K274" s="20">
        <v>411.0</v>
      </c>
      <c r="L274" s="10" t="s">
        <v>35</v>
      </c>
      <c r="M274" s="6" t="str">
        <f t="shared" si="1"/>
        <v/>
      </c>
    </row>
    <row r="275" ht="22.5" customHeight="1">
      <c r="A275" s="5">
        <f t="shared" si="3"/>
        <v>271</v>
      </c>
      <c r="B275" s="5" t="s">
        <v>673</v>
      </c>
      <c r="C275" s="5" t="s">
        <v>14</v>
      </c>
      <c r="D275" s="6" t="str">
        <f>IFERROR(__xludf.DUMMYFUNCTION("INDEX(IMPORTDATA(""https://raw.githubusercontent.com/lukes/ISO-3166-Countries-with-Regional-Codes/master/all/all.csv""), MATCH(C275, INDEX(IMPORTDATA(""https://raw.githubusercontent.com/lukes/ISO-3166-Countries-with-Regional-Codes/master/all/all.csv""), 0"&amp;", 1), 0), 2)"),"NP")</f>
        <v>NP</v>
      </c>
      <c r="E275" s="5">
        <v>9.702024342E9</v>
      </c>
      <c r="F275" s="5" t="s">
        <v>674</v>
      </c>
      <c r="H275" s="7">
        <v>40470.0</v>
      </c>
      <c r="I275" s="5" t="s">
        <v>156</v>
      </c>
      <c r="J275" s="18" t="s">
        <v>39</v>
      </c>
      <c r="K275" s="20">
        <v>412.0</v>
      </c>
      <c r="L275" s="10" t="s">
        <v>35</v>
      </c>
      <c r="M275" s="6" t="str">
        <f t="shared" si="1"/>
        <v/>
      </c>
    </row>
    <row r="276" ht="22.5" customHeight="1">
      <c r="A276" s="5">
        <f t="shared" si="3"/>
        <v>272</v>
      </c>
      <c r="B276" s="5" t="s">
        <v>675</v>
      </c>
      <c r="C276" s="5" t="s">
        <v>14</v>
      </c>
      <c r="D276" s="6" t="str">
        <f>IFERROR(__xludf.DUMMYFUNCTION("INDEX(IMPORTDATA(""https://raw.githubusercontent.com/lukes/ISO-3166-Countries-with-Regional-Codes/master/all/all.csv""), MATCH(C276, INDEX(IMPORTDATA(""https://raw.githubusercontent.com/lukes/ISO-3166-Countries-with-Regional-Codes/master/all/all.csv""), 0"&amp;", 1), 0), 2)"),"NP")</f>
        <v>NP</v>
      </c>
      <c r="E276" s="5">
        <v>9.823824358E9</v>
      </c>
      <c r="F276" s="5" t="s">
        <v>676</v>
      </c>
      <c r="H276" s="7">
        <v>36706.0</v>
      </c>
      <c r="I276" s="5" t="s">
        <v>156</v>
      </c>
      <c r="J276" s="18" t="s">
        <v>39</v>
      </c>
      <c r="K276" s="20">
        <v>413.0</v>
      </c>
      <c r="L276" s="10" t="s">
        <v>89</v>
      </c>
      <c r="M276" s="6" t="str">
        <f t="shared" si="1"/>
        <v/>
      </c>
    </row>
    <row r="277" ht="22.5" customHeight="1">
      <c r="A277" s="5">
        <f t="shared" si="3"/>
        <v>273</v>
      </c>
      <c r="B277" s="5" t="s">
        <v>677</v>
      </c>
      <c r="C277" s="5" t="s">
        <v>14</v>
      </c>
      <c r="D277" s="6" t="str">
        <f>IFERROR(__xludf.DUMMYFUNCTION("INDEX(IMPORTDATA(""https://raw.githubusercontent.com/lukes/ISO-3166-Countries-with-Regional-Codes/master/all/all.csv""), MATCH(C277, INDEX(IMPORTDATA(""https://raw.githubusercontent.com/lukes/ISO-3166-Countries-with-Regional-Codes/master/all/all.csv""), 0"&amp;", 1), 0), 2)"),"NP")</f>
        <v>NP</v>
      </c>
      <c r="E277" s="5">
        <v>9.803136548E9</v>
      </c>
      <c r="F277" s="5" t="s">
        <v>678</v>
      </c>
      <c r="G277" s="5">
        <v>6079149.0</v>
      </c>
      <c r="H277" s="7">
        <v>35277.0</v>
      </c>
      <c r="I277" s="5" t="s">
        <v>156</v>
      </c>
      <c r="J277" s="18" t="s">
        <v>39</v>
      </c>
      <c r="K277" s="20">
        <v>414.0</v>
      </c>
      <c r="L277" s="10" t="s">
        <v>35</v>
      </c>
      <c r="M277" s="6" t="str">
        <f t="shared" si="1"/>
        <v/>
      </c>
    </row>
    <row r="278" ht="22.5" customHeight="1">
      <c r="A278" s="5">
        <f t="shared" si="3"/>
        <v>274</v>
      </c>
      <c r="B278" s="5" t="s">
        <v>679</v>
      </c>
      <c r="C278" s="5" t="s">
        <v>14</v>
      </c>
      <c r="D278" s="6" t="str">
        <f>IFERROR(__xludf.DUMMYFUNCTION("INDEX(IMPORTDATA(""https://raw.githubusercontent.com/lukes/ISO-3166-Countries-with-Regional-Codes/master/all/all.csv""), MATCH(C278, INDEX(IMPORTDATA(""https://raw.githubusercontent.com/lukes/ISO-3166-Countries-with-Regional-Codes/master/all/all.csv""), 0"&amp;", 1), 0), 2)"),"NP")</f>
        <v>NP</v>
      </c>
      <c r="E278" s="5">
        <v>9.861900586E9</v>
      </c>
      <c r="F278" s="5" t="s">
        <v>445</v>
      </c>
      <c r="H278" s="12">
        <v>38783.0</v>
      </c>
      <c r="I278" s="5" t="s">
        <v>156</v>
      </c>
      <c r="J278" s="18" t="s">
        <v>39</v>
      </c>
      <c r="K278" s="20">
        <v>415.0</v>
      </c>
      <c r="L278" s="10" t="s">
        <v>35</v>
      </c>
      <c r="M278" s="6" t="str">
        <f t="shared" si="1"/>
        <v/>
      </c>
    </row>
    <row r="279" ht="22.5" customHeight="1">
      <c r="A279" s="5">
        <f t="shared" si="3"/>
        <v>275</v>
      </c>
      <c r="B279" s="5" t="s">
        <v>680</v>
      </c>
      <c r="C279" s="5" t="s">
        <v>14</v>
      </c>
      <c r="D279" s="6" t="str">
        <f>IFERROR(__xludf.DUMMYFUNCTION("INDEX(IMPORTDATA(""https://raw.githubusercontent.com/lukes/ISO-3166-Countries-with-Regional-Codes/master/all/all.csv""), MATCH(C279, INDEX(IMPORTDATA(""https://raw.githubusercontent.com/lukes/ISO-3166-Countries-with-Regional-Codes/master/all/all.csv""), 0"&amp;", 1), 0), 2)"),"NP")</f>
        <v>NP</v>
      </c>
      <c r="E279" s="5">
        <v>9.861900586E9</v>
      </c>
      <c r="F279" s="5" t="s">
        <v>445</v>
      </c>
      <c r="H279" s="12">
        <v>39851.0</v>
      </c>
      <c r="I279" s="5" t="s">
        <v>156</v>
      </c>
      <c r="J279" s="18" t="s">
        <v>39</v>
      </c>
      <c r="K279" s="20">
        <v>416.0</v>
      </c>
      <c r="L279" s="10" t="s">
        <v>35</v>
      </c>
      <c r="M279" s="6" t="str">
        <f t="shared" si="1"/>
        <v/>
      </c>
    </row>
    <row r="280" ht="22.5" customHeight="1">
      <c r="A280" s="5">
        <f t="shared" si="3"/>
        <v>276</v>
      </c>
      <c r="B280" s="5" t="s">
        <v>681</v>
      </c>
      <c r="C280" s="5" t="s">
        <v>14</v>
      </c>
      <c r="D280" s="6" t="str">
        <f>IFERROR(__xludf.DUMMYFUNCTION("INDEX(IMPORTDATA(""https://raw.githubusercontent.com/lukes/ISO-3166-Countries-with-Regional-Codes/master/all/all.csv""), MATCH(C280, INDEX(IMPORTDATA(""https://raw.githubusercontent.com/lukes/ISO-3166-Countries-with-Regional-Codes/master/all/all.csv""), 0"&amp;", 1), 0), 2)"),"NP")</f>
        <v>NP</v>
      </c>
      <c r="E280" s="5">
        <v>9.86188598E9</v>
      </c>
      <c r="F280" s="5" t="s">
        <v>682</v>
      </c>
      <c r="H280" s="7">
        <v>33196.0</v>
      </c>
      <c r="I280" s="5" t="s">
        <v>156</v>
      </c>
      <c r="J280" s="18" t="s">
        <v>39</v>
      </c>
      <c r="K280" s="20">
        <v>417.0</v>
      </c>
      <c r="L280" s="10" t="s">
        <v>18</v>
      </c>
      <c r="M280" s="6" t="str">
        <f t="shared" si="1"/>
        <v/>
      </c>
    </row>
    <row r="281" ht="22.5" customHeight="1">
      <c r="A281" s="5">
        <f t="shared" si="3"/>
        <v>277</v>
      </c>
      <c r="B281" s="5" t="s">
        <v>683</v>
      </c>
      <c r="C281" s="5" t="s">
        <v>14</v>
      </c>
      <c r="D281" s="6" t="str">
        <f>IFERROR(__xludf.DUMMYFUNCTION("INDEX(IMPORTDATA(""https://raw.githubusercontent.com/lukes/ISO-3166-Countries-with-Regional-Codes/master/all/all.csv""), MATCH(C281, INDEX(IMPORTDATA(""https://raw.githubusercontent.com/lukes/ISO-3166-Countries-with-Regional-Codes/master/all/all.csv""), 0"&amp;", 1), 0), 2)"),"NP")</f>
        <v>NP</v>
      </c>
      <c r="E281" s="5">
        <v>9.861900586E9</v>
      </c>
      <c r="F281" s="5" t="s">
        <v>445</v>
      </c>
      <c r="H281" s="12">
        <v>34885.0</v>
      </c>
      <c r="I281" s="5" t="s">
        <v>156</v>
      </c>
      <c r="J281" s="18" t="s">
        <v>39</v>
      </c>
      <c r="K281" s="20">
        <v>418.0</v>
      </c>
      <c r="L281" s="10" t="s">
        <v>35</v>
      </c>
      <c r="M281" s="6" t="str">
        <f t="shared" si="1"/>
        <v/>
      </c>
    </row>
    <row r="282" ht="22.5" customHeight="1">
      <c r="A282" s="5">
        <f t="shared" si="3"/>
        <v>278</v>
      </c>
      <c r="B282" s="5" t="s">
        <v>684</v>
      </c>
      <c r="C282" s="5" t="s">
        <v>14</v>
      </c>
      <c r="D282" s="6" t="str">
        <f>IFERROR(__xludf.DUMMYFUNCTION("INDEX(IMPORTDATA(""https://raw.githubusercontent.com/lukes/ISO-3166-Countries-with-Regional-Codes/master/all/all.csv""), MATCH(C282, INDEX(IMPORTDATA(""https://raw.githubusercontent.com/lukes/ISO-3166-Countries-with-Regional-Codes/master/all/all.csv""), 0"&amp;", 1), 0), 2)"),"NP")</f>
        <v>NP</v>
      </c>
      <c r="E282" s="5">
        <v>9.851064802E9</v>
      </c>
      <c r="F282" s="5" t="s">
        <v>685</v>
      </c>
      <c r="H282" s="12">
        <v>26034.0</v>
      </c>
      <c r="I282" s="5" t="s">
        <v>156</v>
      </c>
      <c r="J282" s="18" t="s">
        <v>39</v>
      </c>
      <c r="K282" s="20">
        <v>419.0</v>
      </c>
      <c r="L282" s="10" t="s">
        <v>29</v>
      </c>
      <c r="M282" s="6" t="str">
        <f t="shared" si="1"/>
        <v/>
      </c>
    </row>
    <row r="283" ht="22.5" customHeight="1">
      <c r="A283" s="5">
        <f t="shared" si="3"/>
        <v>279</v>
      </c>
      <c r="B283" s="5" t="s">
        <v>686</v>
      </c>
      <c r="C283" s="5" t="s">
        <v>14</v>
      </c>
      <c r="D283" s="6" t="str">
        <f>IFERROR(__xludf.DUMMYFUNCTION("INDEX(IMPORTDATA(""https://raw.githubusercontent.com/lukes/ISO-3166-Countries-with-Regional-Codes/master/all/all.csv""), MATCH(C283, INDEX(IMPORTDATA(""https://raw.githubusercontent.com/lukes/ISO-3166-Countries-with-Regional-Codes/master/all/all.csv""), 0"&amp;", 1), 0), 2)"),"NP")</f>
        <v>NP</v>
      </c>
      <c r="E283" s="5">
        <v>9.851045454E9</v>
      </c>
      <c r="F283" s="5" t="s">
        <v>687</v>
      </c>
      <c r="H283" s="12">
        <v>27861.0</v>
      </c>
      <c r="I283" s="5" t="s">
        <v>156</v>
      </c>
      <c r="J283" s="18" t="s">
        <v>39</v>
      </c>
      <c r="K283" s="20">
        <v>420.0</v>
      </c>
      <c r="L283" s="10" t="s">
        <v>35</v>
      </c>
      <c r="M283" s="6" t="str">
        <f t="shared" si="1"/>
        <v/>
      </c>
    </row>
    <row r="284" ht="22.5" customHeight="1">
      <c r="A284" s="5">
        <f t="shared" si="3"/>
        <v>280</v>
      </c>
      <c r="B284" s="5" t="s">
        <v>688</v>
      </c>
      <c r="C284" s="5" t="s">
        <v>14</v>
      </c>
      <c r="D284" s="6" t="str">
        <f>IFERROR(__xludf.DUMMYFUNCTION("INDEX(IMPORTDATA(""https://raw.githubusercontent.com/lukes/ISO-3166-Countries-with-Regional-Codes/master/all/all.csv""), MATCH(C284, INDEX(IMPORTDATA(""https://raw.githubusercontent.com/lukes/ISO-3166-Countries-with-Regional-Codes/master/all/all.csv""), 0"&amp;", 1), 0), 2)"),"NP")</f>
        <v>NP</v>
      </c>
      <c r="E284" s="5" t="s">
        <v>689</v>
      </c>
      <c r="F284" s="5" t="s">
        <v>690</v>
      </c>
      <c r="H284" s="7">
        <v>35565.0</v>
      </c>
      <c r="I284" s="5" t="s">
        <v>156</v>
      </c>
      <c r="J284" s="18" t="s">
        <v>39</v>
      </c>
      <c r="K284" s="20">
        <v>421.0</v>
      </c>
      <c r="L284" s="10" t="s">
        <v>18</v>
      </c>
      <c r="M284" s="6" t="str">
        <f t="shared" si="1"/>
        <v/>
      </c>
    </row>
    <row r="285" ht="22.5" customHeight="1">
      <c r="A285" s="5">
        <f t="shared" si="3"/>
        <v>281</v>
      </c>
      <c r="B285" s="5" t="s">
        <v>691</v>
      </c>
      <c r="C285" s="5" t="s">
        <v>14</v>
      </c>
      <c r="D285" s="6" t="str">
        <f>IFERROR(__xludf.DUMMYFUNCTION("INDEX(IMPORTDATA(""https://raw.githubusercontent.com/lukes/ISO-3166-Countries-with-Regional-Codes/master/all/all.csv""), MATCH(C285, INDEX(IMPORTDATA(""https://raw.githubusercontent.com/lukes/ISO-3166-Countries-with-Regional-Codes/master/all/all.csv""), 0"&amp;", 1), 0), 2)"),"NP")</f>
        <v>NP</v>
      </c>
      <c r="E285" s="5">
        <v>9.860824909E9</v>
      </c>
      <c r="F285" s="5" t="s">
        <v>692</v>
      </c>
      <c r="H285" s="7">
        <v>35083.0</v>
      </c>
      <c r="I285" s="5" t="s">
        <v>156</v>
      </c>
      <c r="J285" s="18" t="s">
        <v>39</v>
      </c>
      <c r="K285" s="20">
        <v>422.0</v>
      </c>
      <c r="L285" s="10" t="s">
        <v>35</v>
      </c>
      <c r="M285" s="6" t="str">
        <f t="shared" si="1"/>
        <v/>
      </c>
    </row>
    <row r="286" ht="22.5" customHeight="1">
      <c r="A286" s="5">
        <f t="shared" si="3"/>
        <v>282</v>
      </c>
      <c r="B286" s="5" t="s">
        <v>693</v>
      </c>
      <c r="C286" s="5" t="s">
        <v>14</v>
      </c>
      <c r="D286" s="6" t="str">
        <f>IFERROR(__xludf.DUMMYFUNCTION("INDEX(IMPORTDATA(""https://raw.githubusercontent.com/lukes/ISO-3166-Countries-with-Regional-Codes/master/all/all.csv""), MATCH(C286, INDEX(IMPORTDATA(""https://raw.githubusercontent.com/lukes/ISO-3166-Countries-with-Regional-Codes/master/all/all.csv""), 0"&amp;", 1), 0), 2)"),"NP")</f>
        <v>NP</v>
      </c>
      <c r="E286" s="5">
        <v>9.861586722E9</v>
      </c>
      <c r="F286" s="5" t="s">
        <v>694</v>
      </c>
      <c r="H286" s="12">
        <v>35316.0</v>
      </c>
      <c r="I286" s="5" t="s">
        <v>156</v>
      </c>
      <c r="J286" s="18" t="s">
        <v>39</v>
      </c>
      <c r="K286" s="20">
        <v>423.0</v>
      </c>
      <c r="L286" s="10" t="s">
        <v>89</v>
      </c>
      <c r="M286" s="6" t="str">
        <f t="shared" si="1"/>
        <v/>
      </c>
    </row>
    <row r="287" ht="22.5" customHeight="1">
      <c r="A287" s="5">
        <f t="shared" si="3"/>
        <v>283</v>
      </c>
      <c r="B287" s="5" t="s">
        <v>192</v>
      </c>
      <c r="C287" s="5" t="s">
        <v>14</v>
      </c>
      <c r="D287" s="6" t="str">
        <f>IFERROR(__xludf.DUMMYFUNCTION("INDEX(IMPORTDATA(""https://raw.githubusercontent.com/lukes/ISO-3166-Countries-with-Regional-Codes/master/all/all.csv""), MATCH(C287, INDEX(IMPORTDATA(""https://raw.githubusercontent.com/lukes/ISO-3166-Countries-with-Regional-Codes/master/all/all.csv""), 0"&amp;", 1), 0), 2)"),"NP")</f>
        <v>NP</v>
      </c>
      <c r="E287" s="5">
        <v>9.863462629E9</v>
      </c>
      <c r="F287" s="5" t="s">
        <v>695</v>
      </c>
      <c r="H287" s="7">
        <v>34803.0</v>
      </c>
      <c r="I287" s="5" t="s">
        <v>156</v>
      </c>
      <c r="J287" s="18" t="s">
        <v>39</v>
      </c>
      <c r="K287" s="20">
        <v>424.0</v>
      </c>
      <c r="L287" s="10" t="s">
        <v>89</v>
      </c>
      <c r="M287" s="6" t="str">
        <f t="shared" si="1"/>
        <v/>
      </c>
    </row>
    <row r="288" ht="22.5" customHeight="1">
      <c r="A288" s="5">
        <f t="shared" si="3"/>
        <v>284</v>
      </c>
      <c r="B288" s="5" t="s">
        <v>696</v>
      </c>
      <c r="C288" s="5" t="s">
        <v>14</v>
      </c>
      <c r="D288" s="6" t="str">
        <f>IFERROR(__xludf.DUMMYFUNCTION("INDEX(IMPORTDATA(""https://raw.githubusercontent.com/lukes/ISO-3166-Countries-with-Regional-Codes/master/all/all.csv""), MATCH(C288, INDEX(IMPORTDATA(""https://raw.githubusercontent.com/lukes/ISO-3166-Countries-with-Regional-Codes/master/all/all.csv""), 0"&amp;", 1), 0), 2)"),"NP")</f>
        <v>NP</v>
      </c>
      <c r="E288" s="5" t="s">
        <v>697</v>
      </c>
      <c r="F288" s="5" t="s">
        <v>698</v>
      </c>
      <c r="G288" s="5" t="s">
        <v>699</v>
      </c>
      <c r="H288" s="7">
        <v>36120.0</v>
      </c>
      <c r="I288" s="5" t="s">
        <v>156</v>
      </c>
      <c r="J288" s="18" t="s">
        <v>39</v>
      </c>
      <c r="K288" s="20">
        <v>425.0</v>
      </c>
      <c r="L288" s="10" t="s">
        <v>35</v>
      </c>
      <c r="M288" s="6" t="str">
        <f t="shared" si="1"/>
        <v/>
      </c>
    </row>
    <row r="289" ht="22.5" customHeight="1">
      <c r="A289" s="5">
        <f t="shared" si="3"/>
        <v>285</v>
      </c>
      <c r="B289" s="5" t="s">
        <v>700</v>
      </c>
      <c r="C289" s="5" t="s">
        <v>14</v>
      </c>
      <c r="D289" s="6" t="str">
        <f>IFERROR(__xludf.DUMMYFUNCTION("INDEX(IMPORTDATA(""https://raw.githubusercontent.com/lukes/ISO-3166-Countries-with-Regional-Codes/master/all/all.csv""), MATCH(C289, INDEX(IMPORTDATA(""https://raw.githubusercontent.com/lukes/ISO-3166-Countries-with-Regional-Codes/master/all/all.csv""), 0"&amp;", 1), 0), 2)"),"NP")</f>
        <v>NP</v>
      </c>
      <c r="E289" s="5" t="s">
        <v>701</v>
      </c>
      <c r="F289" s="5" t="s">
        <v>702</v>
      </c>
      <c r="H289" s="12">
        <v>35799.0</v>
      </c>
      <c r="I289" s="5" t="s">
        <v>156</v>
      </c>
      <c r="J289" s="18" t="s">
        <v>39</v>
      </c>
      <c r="K289" s="20">
        <v>426.0</v>
      </c>
      <c r="L289" s="10" t="s">
        <v>89</v>
      </c>
      <c r="M289" s="6" t="str">
        <f t="shared" si="1"/>
        <v/>
      </c>
    </row>
    <row r="290" ht="22.5" customHeight="1">
      <c r="A290" s="5">
        <f t="shared" si="3"/>
        <v>286</v>
      </c>
      <c r="B290" s="5" t="s">
        <v>703</v>
      </c>
      <c r="C290" s="5" t="s">
        <v>14</v>
      </c>
      <c r="D290" s="6" t="str">
        <f>IFERROR(__xludf.DUMMYFUNCTION("INDEX(IMPORTDATA(""https://raw.githubusercontent.com/lukes/ISO-3166-Countries-with-Regional-Codes/master/all/all.csv""), MATCH(C290, INDEX(IMPORTDATA(""https://raw.githubusercontent.com/lukes/ISO-3166-Countries-with-Regional-Codes/master/all/all.csv""), 0"&amp;", 1), 0), 2)"),"NP")</f>
        <v>NP</v>
      </c>
      <c r="E290" s="5" t="s">
        <v>704</v>
      </c>
      <c r="F290" s="5" t="s">
        <v>705</v>
      </c>
      <c r="H290" s="12">
        <v>40371.0</v>
      </c>
      <c r="I290" s="5" t="s">
        <v>156</v>
      </c>
      <c r="J290" s="18" t="s">
        <v>39</v>
      </c>
      <c r="K290" s="20">
        <v>427.0</v>
      </c>
      <c r="L290" s="10" t="s">
        <v>35</v>
      </c>
      <c r="M290" s="6" t="str">
        <f t="shared" si="1"/>
        <v/>
      </c>
    </row>
    <row r="291" ht="22.5" customHeight="1">
      <c r="A291" s="5">
        <f t="shared" si="3"/>
        <v>287</v>
      </c>
      <c r="B291" s="5" t="s">
        <v>706</v>
      </c>
      <c r="C291" s="5" t="s">
        <v>14</v>
      </c>
      <c r="D291" s="6" t="str">
        <f>IFERROR(__xludf.DUMMYFUNCTION("INDEX(IMPORTDATA(""https://raw.githubusercontent.com/lukes/ISO-3166-Countries-with-Regional-Codes/master/all/all.csv""), MATCH(C291, INDEX(IMPORTDATA(""https://raw.githubusercontent.com/lukes/ISO-3166-Countries-with-Regional-Codes/master/all/all.csv""), 0"&amp;", 1), 0), 2)"),"NP")</f>
        <v>NP</v>
      </c>
      <c r="E291" s="5" t="s">
        <v>707</v>
      </c>
      <c r="F291" s="5" t="s">
        <v>708</v>
      </c>
      <c r="H291" s="12">
        <v>32298.0</v>
      </c>
      <c r="I291" s="5" t="s">
        <v>156</v>
      </c>
      <c r="J291" s="18" t="s">
        <v>39</v>
      </c>
      <c r="K291" s="20">
        <v>428.0</v>
      </c>
      <c r="L291" s="10" t="s">
        <v>89</v>
      </c>
      <c r="M291" s="6" t="str">
        <f t="shared" si="1"/>
        <v/>
      </c>
    </row>
    <row r="292" ht="22.5" customHeight="1">
      <c r="A292" s="5">
        <f t="shared" si="3"/>
        <v>288</v>
      </c>
      <c r="B292" s="5" t="s">
        <v>709</v>
      </c>
      <c r="C292" s="5" t="s">
        <v>14</v>
      </c>
      <c r="D292" s="6" t="str">
        <f>IFERROR(__xludf.DUMMYFUNCTION("INDEX(IMPORTDATA(""https://raw.githubusercontent.com/lukes/ISO-3166-Countries-with-Regional-Codes/master/all/all.csv""), MATCH(C292, INDEX(IMPORTDATA(""https://raw.githubusercontent.com/lukes/ISO-3166-Countries-with-Regional-Codes/master/all/all.csv""), 0"&amp;", 1), 0), 2)"),"NP")</f>
        <v>NP</v>
      </c>
      <c r="E292" s="5" t="s">
        <v>710</v>
      </c>
      <c r="F292" s="5" t="s">
        <v>711</v>
      </c>
      <c r="H292" s="12">
        <v>35558.0</v>
      </c>
      <c r="I292" s="5" t="s">
        <v>156</v>
      </c>
      <c r="J292" s="18" t="s">
        <v>39</v>
      </c>
      <c r="K292" s="20">
        <v>429.0</v>
      </c>
      <c r="L292" s="10" t="s">
        <v>35</v>
      </c>
      <c r="M292" s="6" t="str">
        <f t="shared" si="1"/>
        <v/>
      </c>
    </row>
    <row r="293" ht="22.5" customHeight="1">
      <c r="A293" s="5">
        <f t="shared" si="3"/>
        <v>289</v>
      </c>
      <c r="B293" s="5" t="s">
        <v>712</v>
      </c>
      <c r="C293" s="5" t="s">
        <v>14</v>
      </c>
      <c r="D293" s="6" t="str">
        <f>IFERROR(__xludf.DUMMYFUNCTION("INDEX(IMPORTDATA(""https://raw.githubusercontent.com/lukes/ISO-3166-Countries-with-Regional-Codes/master/all/all.csv""), MATCH(C293, INDEX(IMPORTDATA(""https://raw.githubusercontent.com/lukes/ISO-3166-Countries-with-Regional-Codes/master/all/all.csv""), 0"&amp;", 1), 0), 2)"),"NP")</f>
        <v>NP</v>
      </c>
      <c r="E293" s="5">
        <v>9.851199202E9</v>
      </c>
      <c r="F293" s="5" t="s">
        <v>713</v>
      </c>
      <c r="H293" s="7">
        <v>30978.0</v>
      </c>
      <c r="I293" s="5" t="s">
        <v>156</v>
      </c>
      <c r="J293" s="18" t="s">
        <v>39</v>
      </c>
      <c r="K293" s="20">
        <v>430.0</v>
      </c>
      <c r="L293" s="10" t="s">
        <v>18</v>
      </c>
      <c r="M293" s="6" t="str">
        <f t="shared" si="1"/>
        <v/>
      </c>
    </row>
    <row r="294" ht="22.5" customHeight="1">
      <c r="A294" s="5">
        <f t="shared" si="3"/>
        <v>290</v>
      </c>
      <c r="B294" s="5" t="s">
        <v>714</v>
      </c>
      <c r="C294" s="5" t="s">
        <v>14</v>
      </c>
      <c r="D294" s="6" t="str">
        <f>IFERROR(__xludf.DUMMYFUNCTION("INDEX(IMPORTDATA(""https://raw.githubusercontent.com/lukes/ISO-3166-Countries-with-Regional-Codes/master/all/all.csv""), MATCH(C294, INDEX(IMPORTDATA(""https://raw.githubusercontent.com/lukes/ISO-3166-Countries-with-Regional-Codes/master/all/all.csv""), 0"&amp;", 1), 0), 2)"),"NP")</f>
        <v>NP</v>
      </c>
      <c r="E294" s="5" t="s">
        <v>715</v>
      </c>
      <c r="F294" s="5" t="s">
        <v>716</v>
      </c>
      <c r="H294" s="7">
        <v>31501.0</v>
      </c>
      <c r="I294" s="5" t="s">
        <v>156</v>
      </c>
      <c r="J294" s="18" t="s">
        <v>39</v>
      </c>
      <c r="K294" s="20">
        <v>431.0</v>
      </c>
      <c r="L294" s="10" t="s">
        <v>18</v>
      </c>
      <c r="M294" s="6" t="str">
        <f t="shared" si="1"/>
        <v/>
      </c>
    </row>
    <row r="295" ht="22.5" customHeight="1">
      <c r="A295" s="5">
        <f t="shared" si="3"/>
        <v>291</v>
      </c>
      <c r="B295" s="5" t="s">
        <v>717</v>
      </c>
      <c r="C295" s="5" t="s">
        <v>14</v>
      </c>
      <c r="D295" s="6" t="str">
        <f>IFERROR(__xludf.DUMMYFUNCTION("INDEX(IMPORTDATA(""https://raw.githubusercontent.com/lukes/ISO-3166-Countries-with-Regional-Codes/master/all/all.csv""), MATCH(C295, INDEX(IMPORTDATA(""https://raw.githubusercontent.com/lukes/ISO-3166-Countries-with-Regional-Codes/master/all/all.csv""), 0"&amp;", 1), 0), 2)"),"NP")</f>
        <v>NP</v>
      </c>
      <c r="E295" s="5" t="s">
        <v>718</v>
      </c>
      <c r="F295" s="5" t="s">
        <v>719</v>
      </c>
      <c r="H295" s="12">
        <v>33245.0</v>
      </c>
      <c r="I295" s="5" t="s">
        <v>156</v>
      </c>
      <c r="J295" s="18" t="s">
        <v>39</v>
      </c>
      <c r="K295" s="20">
        <v>432.0</v>
      </c>
      <c r="L295" s="10" t="s">
        <v>35</v>
      </c>
      <c r="M295" s="6" t="str">
        <f t="shared" si="1"/>
        <v/>
      </c>
    </row>
    <row r="296" ht="22.5" customHeight="1">
      <c r="A296" s="5">
        <f t="shared" si="3"/>
        <v>292</v>
      </c>
      <c r="B296" s="5" t="s">
        <v>720</v>
      </c>
      <c r="C296" s="5" t="s">
        <v>14</v>
      </c>
      <c r="D296" s="6" t="str">
        <f>IFERROR(__xludf.DUMMYFUNCTION("INDEX(IMPORTDATA(""https://raw.githubusercontent.com/lukes/ISO-3166-Countries-with-Regional-Codes/master/all/all.csv""), MATCH(C296, INDEX(IMPORTDATA(""https://raw.githubusercontent.com/lukes/ISO-3166-Countries-with-Regional-Codes/master/all/all.csv""), 0"&amp;", 1), 0), 2)"),"NP")</f>
        <v>NP</v>
      </c>
      <c r="E296" s="5">
        <v>9.861111108E9</v>
      </c>
      <c r="F296" s="5" t="s">
        <v>721</v>
      </c>
      <c r="H296" s="12">
        <v>34492.0</v>
      </c>
      <c r="I296" s="5" t="s">
        <v>156</v>
      </c>
      <c r="J296" s="18" t="s">
        <v>39</v>
      </c>
      <c r="K296" s="20">
        <v>433.0</v>
      </c>
      <c r="L296" s="10" t="s">
        <v>89</v>
      </c>
      <c r="M296" s="6" t="str">
        <f t="shared" si="1"/>
        <v/>
      </c>
    </row>
    <row r="297" ht="22.5" customHeight="1">
      <c r="A297" s="5">
        <f t="shared" si="3"/>
        <v>293</v>
      </c>
      <c r="B297" s="5" t="s">
        <v>722</v>
      </c>
      <c r="C297" s="5" t="s">
        <v>14</v>
      </c>
      <c r="D297" s="6" t="str">
        <f>IFERROR(__xludf.DUMMYFUNCTION("INDEX(IMPORTDATA(""https://raw.githubusercontent.com/lukes/ISO-3166-Countries-with-Regional-Codes/master/all/all.csv""), MATCH(C297, INDEX(IMPORTDATA(""https://raw.githubusercontent.com/lukes/ISO-3166-Countries-with-Regional-Codes/master/all/all.csv""), 0"&amp;", 1), 0), 2)"),"NP")</f>
        <v>NP</v>
      </c>
      <c r="E297" s="5">
        <v>9.843018355E9</v>
      </c>
      <c r="F297" s="5" t="s">
        <v>723</v>
      </c>
      <c r="G297" s="5">
        <v>6089969.0</v>
      </c>
      <c r="H297" s="7">
        <v>35112.0</v>
      </c>
      <c r="I297" s="5" t="s">
        <v>156</v>
      </c>
      <c r="J297" s="18" t="s">
        <v>39</v>
      </c>
      <c r="K297" s="20">
        <v>434.0</v>
      </c>
      <c r="L297" s="10" t="s">
        <v>35</v>
      </c>
      <c r="M297" s="6" t="str">
        <f t="shared" si="1"/>
        <v/>
      </c>
    </row>
    <row r="298" ht="22.5" customHeight="1">
      <c r="A298" s="5">
        <f t="shared" si="3"/>
        <v>294</v>
      </c>
      <c r="B298" s="5" t="s">
        <v>724</v>
      </c>
      <c r="C298" s="5" t="s">
        <v>14</v>
      </c>
      <c r="D298" s="6" t="str">
        <f>IFERROR(__xludf.DUMMYFUNCTION("INDEX(IMPORTDATA(""https://raw.githubusercontent.com/lukes/ISO-3166-Countries-with-Regional-Codes/master/all/all.csv""), MATCH(C298, INDEX(IMPORTDATA(""https://raw.githubusercontent.com/lukes/ISO-3166-Countries-with-Regional-Codes/master/all/all.csv""), 0"&amp;", 1), 0), 2)"),"NP")</f>
        <v>NP</v>
      </c>
      <c r="E298" s="5" t="s">
        <v>725</v>
      </c>
      <c r="F298" s="5" t="s">
        <v>726</v>
      </c>
      <c r="G298" s="5">
        <v>7189370.0</v>
      </c>
      <c r="H298" s="7">
        <v>35781.0</v>
      </c>
      <c r="I298" s="5" t="s">
        <v>156</v>
      </c>
      <c r="J298" s="18" t="s">
        <v>39</v>
      </c>
      <c r="K298" s="20">
        <v>435.0</v>
      </c>
      <c r="L298" s="10" t="s">
        <v>18</v>
      </c>
      <c r="M298" s="6" t="str">
        <f t="shared" si="1"/>
        <v/>
      </c>
    </row>
    <row r="299" ht="22.5" customHeight="1">
      <c r="A299" s="5">
        <f t="shared" si="3"/>
        <v>295</v>
      </c>
      <c r="B299" s="5" t="s">
        <v>727</v>
      </c>
      <c r="C299" s="5" t="s">
        <v>14</v>
      </c>
      <c r="D299" s="6" t="str">
        <f>IFERROR(__xludf.DUMMYFUNCTION("INDEX(IMPORTDATA(""https://raw.githubusercontent.com/lukes/ISO-3166-Countries-with-Regional-Codes/master/all/all.csv""), MATCH(C299, INDEX(IMPORTDATA(""https://raw.githubusercontent.com/lukes/ISO-3166-Countries-with-Regional-Codes/master/all/all.csv""), 0"&amp;", 1), 0), 2)"),"NP")</f>
        <v>NP</v>
      </c>
      <c r="E299" s="5">
        <v>9.843085838E9</v>
      </c>
      <c r="F299" s="5" t="s">
        <v>728</v>
      </c>
      <c r="G299" s="5">
        <v>6079136.0</v>
      </c>
      <c r="H299" s="12">
        <v>32541.0</v>
      </c>
      <c r="I299" s="5" t="s">
        <v>156</v>
      </c>
      <c r="J299" s="18" t="s">
        <v>39</v>
      </c>
      <c r="K299" s="20">
        <v>436.0</v>
      </c>
      <c r="L299" s="10" t="s">
        <v>18</v>
      </c>
      <c r="M299" s="6" t="str">
        <f t="shared" si="1"/>
        <v/>
      </c>
    </row>
    <row r="300" ht="22.5" customHeight="1">
      <c r="A300" s="5">
        <f t="shared" si="3"/>
        <v>296</v>
      </c>
      <c r="B300" s="5" t="s">
        <v>729</v>
      </c>
      <c r="C300" s="5" t="s">
        <v>14</v>
      </c>
      <c r="D300" s="6" t="str">
        <f>IFERROR(__xludf.DUMMYFUNCTION("INDEX(IMPORTDATA(""https://raw.githubusercontent.com/lukes/ISO-3166-Countries-with-Regional-Codes/master/all/all.csv""), MATCH(C300, INDEX(IMPORTDATA(""https://raw.githubusercontent.com/lukes/ISO-3166-Countries-with-Regional-Codes/master/all/all.csv""), 0"&amp;", 1), 0), 2)"),"NP")</f>
        <v>NP</v>
      </c>
      <c r="E300" s="5">
        <v>9.840539844E9</v>
      </c>
      <c r="F300" s="5" t="s">
        <v>730</v>
      </c>
      <c r="H300" s="7">
        <v>38273.0</v>
      </c>
      <c r="I300" s="5" t="s">
        <v>156</v>
      </c>
      <c r="J300" s="18" t="s">
        <v>39</v>
      </c>
      <c r="K300" s="20">
        <v>437.0</v>
      </c>
      <c r="L300" s="10" t="s">
        <v>35</v>
      </c>
      <c r="M300" s="6" t="str">
        <f t="shared" si="1"/>
        <v/>
      </c>
    </row>
    <row r="301" ht="22.5" customHeight="1">
      <c r="A301" s="5">
        <f t="shared" si="3"/>
        <v>297</v>
      </c>
      <c r="B301" s="5" t="s">
        <v>731</v>
      </c>
      <c r="C301" s="5" t="s">
        <v>14</v>
      </c>
      <c r="D301" s="6" t="str">
        <f>IFERROR(__xludf.DUMMYFUNCTION("INDEX(IMPORTDATA(""https://raw.githubusercontent.com/lukes/ISO-3166-Countries-with-Regional-Codes/master/all/all.csv""), MATCH(C301, INDEX(IMPORTDATA(""https://raw.githubusercontent.com/lukes/ISO-3166-Countries-with-Regional-Codes/master/all/all.csv""), 0"&amp;", 1), 0), 2)"),"NP")</f>
        <v>NP</v>
      </c>
      <c r="E301" s="5" t="s">
        <v>732</v>
      </c>
      <c r="F301" s="5" t="s">
        <v>733</v>
      </c>
      <c r="H301" s="12">
        <v>29747.0</v>
      </c>
      <c r="I301" s="5" t="s">
        <v>156</v>
      </c>
      <c r="J301" s="18" t="s">
        <v>39</v>
      </c>
      <c r="K301" s="20">
        <v>438.0</v>
      </c>
      <c r="L301" s="10" t="s">
        <v>89</v>
      </c>
      <c r="M301" s="6" t="str">
        <f t="shared" si="1"/>
        <v/>
      </c>
    </row>
    <row r="302" ht="22.5" customHeight="1">
      <c r="A302" s="5">
        <f t="shared" si="3"/>
        <v>298</v>
      </c>
      <c r="B302" s="5" t="s">
        <v>734</v>
      </c>
      <c r="C302" s="5" t="s">
        <v>14</v>
      </c>
      <c r="D302" s="6" t="str">
        <f>IFERROR(__xludf.DUMMYFUNCTION("INDEX(IMPORTDATA(""https://raw.githubusercontent.com/lukes/ISO-3166-Countries-with-Regional-Codes/master/all/all.csv""), MATCH(C302, INDEX(IMPORTDATA(""https://raw.githubusercontent.com/lukes/ISO-3166-Countries-with-Regional-Codes/master/all/all.csv""), 0"&amp;", 1), 0), 2)"),"NP")</f>
        <v>NP</v>
      </c>
      <c r="E302" s="5" t="s">
        <v>735</v>
      </c>
      <c r="F302" s="5" t="s">
        <v>736</v>
      </c>
      <c r="H302" s="12">
        <v>34345.0</v>
      </c>
      <c r="I302" s="5" t="s">
        <v>156</v>
      </c>
      <c r="J302" s="18" t="s">
        <v>39</v>
      </c>
      <c r="K302" s="20">
        <v>439.0</v>
      </c>
      <c r="L302" s="10" t="s">
        <v>18</v>
      </c>
      <c r="M302" s="6" t="str">
        <f t="shared" si="1"/>
        <v/>
      </c>
    </row>
    <row r="303" ht="22.5" customHeight="1">
      <c r="A303" s="5">
        <f t="shared" si="3"/>
        <v>299</v>
      </c>
      <c r="B303" s="5" t="s">
        <v>737</v>
      </c>
      <c r="C303" s="5" t="s">
        <v>14</v>
      </c>
      <c r="D303" s="6" t="str">
        <f>IFERROR(__xludf.DUMMYFUNCTION("INDEX(IMPORTDATA(""https://raw.githubusercontent.com/lukes/ISO-3166-Countries-with-Regional-Codes/master/all/all.csv""), MATCH(C303, INDEX(IMPORTDATA(""https://raw.githubusercontent.com/lukes/ISO-3166-Countries-with-Regional-Codes/master/all/all.csv""), 0"&amp;", 1), 0), 2)"),"NP")</f>
        <v>NP</v>
      </c>
      <c r="E303" s="5">
        <v>9.861965633E9</v>
      </c>
      <c r="F303" s="5" t="s">
        <v>738</v>
      </c>
      <c r="G303" s="5">
        <v>7086610.0</v>
      </c>
      <c r="H303" s="7">
        <v>29245.0</v>
      </c>
      <c r="I303" s="5" t="s">
        <v>156</v>
      </c>
      <c r="J303" s="18" t="s">
        <v>39</v>
      </c>
      <c r="K303" s="20">
        <v>440.0</v>
      </c>
      <c r="L303" s="10" t="s">
        <v>35</v>
      </c>
      <c r="M303" s="6" t="str">
        <f t="shared" si="1"/>
        <v/>
      </c>
    </row>
    <row r="304" ht="22.5" customHeight="1">
      <c r="A304" s="5">
        <f t="shared" si="3"/>
        <v>300</v>
      </c>
      <c r="B304" s="5" t="s">
        <v>739</v>
      </c>
      <c r="C304" s="5" t="s">
        <v>14</v>
      </c>
      <c r="D304" s="6" t="str">
        <f>IFERROR(__xludf.DUMMYFUNCTION("INDEX(IMPORTDATA(""https://raw.githubusercontent.com/lukes/ISO-3166-Countries-with-Regional-Codes/master/all/all.csv""), MATCH(C304, INDEX(IMPORTDATA(""https://raw.githubusercontent.com/lukes/ISO-3166-Countries-with-Regional-Codes/master/all/all.csv""), 0"&amp;", 1), 0), 2)"),"NP")</f>
        <v>NP</v>
      </c>
      <c r="E304" s="5" t="s">
        <v>740</v>
      </c>
      <c r="F304" s="5" t="s">
        <v>741</v>
      </c>
      <c r="G304" s="5">
        <v>6059235.0</v>
      </c>
      <c r="H304" s="7">
        <v>33260.0</v>
      </c>
      <c r="I304" s="5" t="s">
        <v>156</v>
      </c>
      <c r="J304" s="18" t="s">
        <v>39</v>
      </c>
      <c r="K304" s="20">
        <v>441.0</v>
      </c>
      <c r="L304" s="10" t="s">
        <v>35</v>
      </c>
      <c r="M304" s="6" t="str">
        <f t="shared" si="1"/>
        <v/>
      </c>
    </row>
    <row r="305" ht="22.5" customHeight="1">
      <c r="A305" s="5">
        <f t="shared" si="3"/>
        <v>301</v>
      </c>
      <c r="B305" s="5" t="s">
        <v>742</v>
      </c>
      <c r="C305" s="5" t="s">
        <v>14</v>
      </c>
      <c r="D305" s="6" t="str">
        <f>IFERROR(__xludf.DUMMYFUNCTION("INDEX(IMPORTDATA(""https://raw.githubusercontent.com/lukes/ISO-3166-Countries-with-Regional-Codes/master/all/all.csv""), MATCH(C305, INDEX(IMPORTDATA(""https://raw.githubusercontent.com/lukes/ISO-3166-Countries-with-Regional-Codes/master/all/all.csv""), 0"&amp;", 1), 0), 2)"),"NP")</f>
        <v>NP</v>
      </c>
      <c r="E305" s="5" t="s">
        <v>743</v>
      </c>
      <c r="F305" s="5" t="s">
        <v>744</v>
      </c>
      <c r="G305" s="5">
        <v>7167077.0</v>
      </c>
      <c r="H305" s="12">
        <v>35011.0</v>
      </c>
      <c r="I305" s="5" t="s">
        <v>156</v>
      </c>
      <c r="J305" s="18" t="s">
        <v>39</v>
      </c>
      <c r="K305" s="20">
        <v>442.0</v>
      </c>
      <c r="L305" s="10" t="s">
        <v>89</v>
      </c>
      <c r="M305" s="6" t="str">
        <f t="shared" si="1"/>
        <v/>
      </c>
    </row>
    <row r="306" ht="22.5" customHeight="1">
      <c r="A306" s="5">
        <f t="shared" si="3"/>
        <v>302</v>
      </c>
      <c r="B306" s="5" t="s">
        <v>745</v>
      </c>
      <c r="C306" s="5" t="s">
        <v>14</v>
      </c>
      <c r="D306" s="6" t="str">
        <f>IFERROR(__xludf.DUMMYFUNCTION("INDEX(IMPORTDATA(""https://raw.githubusercontent.com/lukes/ISO-3166-Countries-with-Regional-Codes/master/all/all.csv""), MATCH(C306, INDEX(IMPORTDATA(""https://raw.githubusercontent.com/lukes/ISO-3166-Countries-with-Regional-Codes/master/all/all.csv""), 0"&amp;", 1), 0), 2)"),"NP")</f>
        <v>NP</v>
      </c>
      <c r="E306" s="5" t="s">
        <v>746</v>
      </c>
      <c r="F306" s="5" t="s">
        <v>747</v>
      </c>
      <c r="G306" s="5">
        <v>7202969.0</v>
      </c>
      <c r="H306" s="12">
        <v>35521.0</v>
      </c>
      <c r="I306" s="5" t="s">
        <v>156</v>
      </c>
      <c r="J306" s="18" t="s">
        <v>39</v>
      </c>
      <c r="K306" s="20">
        <v>443.0</v>
      </c>
      <c r="L306" s="10" t="s">
        <v>35</v>
      </c>
      <c r="M306" s="6" t="str">
        <f t="shared" si="1"/>
        <v/>
      </c>
    </row>
    <row r="307" ht="22.5" customHeight="1">
      <c r="A307" s="5">
        <f t="shared" si="3"/>
        <v>303</v>
      </c>
      <c r="B307" s="5" t="s">
        <v>748</v>
      </c>
      <c r="C307" s="5" t="s">
        <v>14</v>
      </c>
      <c r="D307" s="6" t="str">
        <f>IFERROR(__xludf.DUMMYFUNCTION("INDEX(IMPORTDATA(""https://raw.githubusercontent.com/lukes/ISO-3166-Countries-with-Regional-Codes/master/all/all.csv""), MATCH(C307, INDEX(IMPORTDATA(""https://raw.githubusercontent.com/lukes/ISO-3166-Countries-with-Regional-Codes/master/all/all.csv""), 0"&amp;", 1), 0), 2)"),"NP")</f>
        <v>NP</v>
      </c>
      <c r="E307" s="5" t="s">
        <v>749</v>
      </c>
      <c r="F307" s="5" t="s">
        <v>750</v>
      </c>
      <c r="G307" s="5">
        <v>7059094.0</v>
      </c>
      <c r="H307" s="12">
        <v>28860.0</v>
      </c>
      <c r="I307" s="5" t="s">
        <v>156</v>
      </c>
      <c r="J307" s="18" t="s">
        <v>39</v>
      </c>
      <c r="K307" s="20">
        <v>444.0</v>
      </c>
      <c r="L307" s="10" t="s">
        <v>35</v>
      </c>
      <c r="M307" s="6" t="str">
        <f t="shared" si="1"/>
        <v/>
      </c>
    </row>
    <row r="308" ht="22.5" customHeight="1">
      <c r="A308" s="5">
        <f t="shared" si="3"/>
        <v>304</v>
      </c>
      <c r="B308" s="5" t="s">
        <v>751</v>
      </c>
      <c r="C308" s="5" t="s">
        <v>14</v>
      </c>
      <c r="D308" s="6" t="str">
        <f>IFERROR(__xludf.DUMMYFUNCTION("INDEX(IMPORTDATA(""https://raw.githubusercontent.com/lukes/ISO-3166-Countries-with-Regional-Codes/master/all/all.csv""), MATCH(C308, INDEX(IMPORTDATA(""https://raw.githubusercontent.com/lukes/ISO-3166-Countries-with-Regional-Codes/master/all/all.csv""), 0"&amp;", 1), 0), 2)"),"NP")</f>
        <v>NP</v>
      </c>
      <c r="E308" s="5">
        <v>9.855097777E9</v>
      </c>
      <c r="F308" s="5" t="s">
        <v>752</v>
      </c>
      <c r="H308" s="7">
        <v>31745.0</v>
      </c>
      <c r="I308" s="5" t="s">
        <v>156</v>
      </c>
      <c r="J308" s="18" t="s">
        <v>39</v>
      </c>
      <c r="K308" s="20">
        <v>445.0</v>
      </c>
      <c r="L308" s="10" t="s">
        <v>35</v>
      </c>
      <c r="M308" s="6" t="str">
        <f t="shared" si="1"/>
        <v/>
      </c>
    </row>
    <row r="309" ht="22.5" customHeight="1">
      <c r="A309" s="5">
        <f t="shared" si="3"/>
        <v>305</v>
      </c>
      <c r="B309" s="5" t="s">
        <v>753</v>
      </c>
      <c r="C309" s="5" t="s">
        <v>14</v>
      </c>
      <c r="D309" s="6" t="str">
        <f>IFERROR(__xludf.DUMMYFUNCTION("INDEX(IMPORTDATA(""https://raw.githubusercontent.com/lukes/ISO-3166-Countries-with-Regional-Codes/master/all/all.csv""), MATCH(C309, INDEX(IMPORTDATA(""https://raw.githubusercontent.com/lukes/ISO-3166-Countries-with-Regional-Codes/master/all/all.csv""), 0"&amp;", 1), 0), 2)"),"NP")</f>
        <v>NP</v>
      </c>
      <c r="E309" s="5">
        <v>9.813591849E9</v>
      </c>
      <c r="F309" s="5" t="s">
        <v>754</v>
      </c>
      <c r="G309" s="5">
        <v>5848660.0</v>
      </c>
      <c r="H309" s="12">
        <v>35677.0</v>
      </c>
      <c r="I309" s="5" t="s">
        <v>156</v>
      </c>
      <c r="J309" s="18" t="s">
        <v>39</v>
      </c>
      <c r="K309" s="20">
        <v>446.0</v>
      </c>
      <c r="L309" s="10" t="s">
        <v>18</v>
      </c>
      <c r="M309" s="6" t="str">
        <f t="shared" si="1"/>
        <v/>
      </c>
    </row>
    <row r="310" ht="22.5" customHeight="1">
      <c r="A310" s="5">
        <f t="shared" si="3"/>
        <v>306</v>
      </c>
      <c r="B310" s="5" t="s">
        <v>755</v>
      </c>
      <c r="C310" s="5" t="s">
        <v>14</v>
      </c>
      <c r="D310" s="6" t="str">
        <f>IFERROR(__xludf.DUMMYFUNCTION("INDEX(IMPORTDATA(""https://raw.githubusercontent.com/lukes/ISO-3166-Countries-with-Regional-Codes/master/all/all.csv""), MATCH(C310, INDEX(IMPORTDATA(""https://raw.githubusercontent.com/lukes/ISO-3166-Countries-with-Regional-Codes/master/all/all.csv""), 0"&amp;", 1), 0), 2)"),"NP")</f>
        <v>NP</v>
      </c>
      <c r="E310" s="5">
        <v>9.843612873E9</v>
      </c>
      <c r="F310" s="5" t="s">
        <v>756</v>
      </c>
      <c r="H310" s="12">
        <v>32912.0</v>
      </c>
      <c r="I310" s="5" t="s">
        <v>156</v>
      </c>
      <c r="J310" s="18" t="s">
        <v>39</v>
      </c>
      <c r="K310" s="20">
        <v>447.0</v>
      </c>
      <c r="L310" s="10" t="s">
        <v>35</v>
      </c>
      <c r="M310" s="6" t="str">
        <f t="shared" si="1"/>
        <v/>
      </c>
    </row>
    <row r="311" ht="22.5" customHeight="1">
      <c r="A311" s="5">
        <f t="shared" si="3"/>
        <v>307</v>
      </c>
      <c r="B311" s="5" t="s">
        <v>757</v>
      </c>
      <c r="C311" s="5" t="s">
        <v>14</v>
      </c>
      <c r="D311" s="6" t="str">
        <f>IFERROR(__xludf.DUMMYFUNCTION("INDEX(IMPORTDATA(""https://raw.githubusercontent.com/lukes/ISO-3166-Countries-with-Regional-Codes/master/all/all.csv""), MATCH(C311, INDEX(IMPORTDATA(""https://raw.githubusercontent.com/lukes/ISO-3166-Countries-with-Regional-Codes/master/all/all.csv""), 0"&amp;", 1), 0), 2)"),"NP")</f>
        <v>NP</v>
      </c>
      <c r="E311" s="5" t="s">
        <v>758</v>
      </c>
      <c r="F311" s="5" t="s">
        <v>759</v>
      </c>
      <c r="G311" s="5">
        <v>7166187.0</v>
      </c>
      <c r="H311" s="12">
        <v>35710.0</v>
      </c>
      <c r="I311" s="5" t="s">
        <v>156</v>
      </c>
      <c r="J311" s="18" t="s">
        <v>39</v>
      </c>
      <c r="K311" s="20">
        <v>448.0</v>
      </c>
      <c r="L311" s="10" t="s">
        <v>89</v>
      </c>
      <c r="M311" s="6" t="str">
        <f t="shared" si="1"/>
        <v/>
      </c>
    </row>
    <row r="312" ht="22.5" customHeight="1">
      <c r="A312" s="5">
        <f t="shared" si="3"/>
        <v>308</v>
      </c>
      <c r="B312" s="5" t="s">
        <v>760</v>
      </c>
      <c r="C312" s="5" t="s">
        <v>14</v>
      </c>
      <c r="D312" s="6" t="str">
        <f>IFERROR(__xludf.DUMMYFUNCTION("INDEX(IMPORTDATA(""https://raw.githubusercontent.com/lukes/ISO-3166-Countries-with-Regional-Codes/master/all/all.csv""), MATCH(C312, INDEX(IMPORTDATA(""https://raw.githubusercontent.com/lukes/ISO-3166-Countries-with-Regional-Codes/master/all/all.csv""), 0"&amp;", 1), 0), 2)"),"NP")</f>
        <v>NP</v>
      </c>
      <c r="E312" s="5" t="s">
        <v>761</v>
      </c>
      <c r="F312" s="5" t="s">
        <v>762</v>
      </c>
      <c r="G312" s="5">
        <v>7160618.0</v>
      </c>
      <c r="H312" s="7">
        <v>35575.0</v>
      </c>
      <c r="I312" s="5" t="s">
        <v>156</v>
      </c>
      <c r="J312" s="18" t="s">
        <v>39</v>
      </c>
      <c r="K312" s="20">
        <v>449.0</v>
      </c>
      <c r="L312" s="10" t="s">
        <v>22</v>
      </c>
      <c r="M312" s="6" t="str">
        <f t="shared" si="1"/>
        <v/>
      </c>
    </row>
    <row r="313" ht="22.5" customHeight="1">
      <c r="A313" s="5">
        <f t="shared" si="3"/>
        <v>309</v>
      </c>
      <c r="B313" s="5" t="s">
        <v>763</v>
      </c>
      <c r="C313" s="5" t="s">
        <v>14</v>
      </c>
      <c r="D313" s="6" t="str">
        <f>IFERROR(__xludf.DUMMYFUNCTION("INDEX(IMPORTDATA(""https://raw.githubusercontent.com/lukes/ISO-3166-Countries-with-Regional-Codes/master/all/all.csv""), MATCH(C313, INDEX(IMPORTDATA(""https://raw.githubusercontent.com/lukes/ISO-3166-Countries-with-Regional-Codes/master/all/all.csv""), 0"&amp;", 1), 0), 2)"),"NP")</f>
        <v>NP</v>
      </c>
      <c r="E313" s="5">
        <v>9.843857682E9</v>
      </c>
      <c r="F313" s="5" t="s">
        <v>764</v>
      </c>
      <c r="G313" s="5">
        <v>7160615.0</v>
      </c>
      <c r="H313" s="7">
        <v>34994.0</v>
      </c>
      <c r="I313" s="5" t="s">
        <v>156</v>
      </c>
      <c r="J313" s="18" t="s">
        <v>39</v>
      </c>
      <c r="K313" s="20">
        <v>450.0</v>
      </c>
      <c r="L313" s="10" t="s">
        <v>35</v>
      </c>
      <c r="M313" s="6" t="str">
        <f t="shared" si="1"/>
        <v/>
      </c>
    </row>
    <row r="314" ht="22.5" customHeight="1">
      <c r="A314" s="5">
        <f t="shared" si="3"/>
        <v>310</v>
      </c>
      <c r="B314" s="5" t="s">
        <v>765</v>
      </c>
      <c r="C314" s="5" t="s">
        <v>14</v>
      </c>
      <c r="D314" s="6" t="str">
        <f>IFERROR(__xludf.DUMMYFUNCTION("INDEX(IMPORTDATA(""https://raw.githubusercontent.com/lukes/ISO-3166-Countries-with-Regional-Codes/master/all/all.csv""), MATCH(C314, INDEX(IMPORTDATA(""https://raw.githubusercontent.com/lukes/ISO-3166-Countries-with-Regional-Codes/master/all/all.csv""), 0"&amp;", 1), 0), 2)"),"NP")</f>
        <v>NP</v>
      </c>
      <c r="E314" s="5">
        <v>9.863012526E9</v>
      </c>
      <c r="F314" s="5" t="s">
        <v>766</v>
      </c>
      <c r="H314" s="12">
        <v>35800.0</v>
      </c>
      <c r="I314" s="5" t="s">
        <v>156</v>
      </c>
      <c r="J314" s="18" t="s">
        <v>39</v>
      </c>
      <c r="K314" s="20">
        <v>451.0</v>
      </c>
      <c r="L314" s="10" t="s">
        <v>89</v>
      </c>
      <c r="M314" s="6" t="str">
        <f t="shared" si="1"/>
        <v/>
      </c>
    </row>
    <row r="315" ht="22.5" customHeight="1">
      <c r="A315" s="5">
        <f t="shared" si="3"/>
        <v>311</v>
      </c>
      <c r="B315" s="5" t="s">
        <v>767</v>
      </c>
      <c r="C315" s="5" t="s">
        <v>14</v>
      </c>
      <c r="D315" s="6" t="str">
        <f>IFERROR(__xludf.DUMMYFUNCTION("INDEX(IMPORTDATA(""https://raw.githubusercontent.com/lukes/ISO-3166-Countries-with-Regional-Codes/master/all/all.csv""), MATCH(C315, INDEX(IMPORTDATA(""https://raw.githubusercontent.com/lukes/ISO-3166-Countries-with-Regional-Codes/master/all/all.csv""), 0"&amp;", 1), 0), 2)"),"NP")</f>
        <v>NP</v>
      </c>
      <c r="E315" s="5">
        <v>9.8607223E9</v>
      </c>
      <c r="F315" s="5" t="s">
        <v>768</v>
      </c>
      <c r="H315" s="12">
        <v>35674.0</v>
      </c>
      <c r="I315" s="5" t="s">
        <v>156</v>
      </c>
      <c r="J315" s="18" t="s">
        <v>39</v>
      </c>
      <c r="K315" s="20">
        <v>452.0</v>
      </c>
      <c r="L315" s="10" t="s">
        <v>35</v>
      </c>
      <c r="M315" s="6" t="str">
        <f t="shared" si="1"/>
        <v/>
      </c>
    </row>
    <row r="316" ht="22.5" customHeight="1">
      <c r="A316" s="5">
        <f t="shared" si="3"/>
        <v>312</v>
      </c>
      <c r="B316" s="5" t="s">
        <v>769</v>
      </c>
      <c r="C316" s="5" t="s">
        <v>14</v>
      </c>
      <c r="D316" s="6" t="str">
        <f>IFERROR(__xludf.DUMMYFUNCTION("INDEX(IMPORTDATA(""https://raw.githubusercontent.com/lukes/ISO-3166-Countries-with-Regional-Codes/master/all/all.csv""), MATCH(C316, INDEX(IMPORTDATA(""https://raw.githubusercontent.com/lukes/ISO-3166-Countries-with-Regional-Codes/master/all/all.csv""), 0"&amp;", 1), 0), 2)"),"NP")</f>
        <v>NP</v>
      </c>
      <c r="E316" s="5">
        <v>9.860874992E9</v>
      </c>
      <c r="F316" s="5" t="s">
        <v>770</v>
      </c>
      <c r="H316" s="7">
        <v>36458.0</v>
      </c>
      <c r="I316" s="5" t="s">
        <v>156</v>
      </c>
      <c r="J316" s="18" t="s">
        <v>39</v>
      </c>
      <c r="K316" s="20">
        <v>453.0</v>
      </c>
      <c r="L316" s="10" t="s">
        <v>89</v>
      </c>
      <c r="M316" s="6" t="str">
        <f t="shared" si="1"/>
        <v/>
      </c>
    </row>
    <row r="317" ht="22.5" customHeight="1">
      <c r="A317" s="5">
        <f t="shared" si="3"/>
        <v>313</v>
      </c>
      <c r="B317" s="5" t="s">
        <v>771</v>
      </c>
      <c r="C317" s="5" t="s">
        <v>14</v>
      </c>
      <c r="D317" s="6" t="str">
        <f>IFERROR(__xludf.DUMMYFUNCTION("INDEX(IMPORTDATA(""https://raw.githubusercontent.com/lukes/ISO-3166-Countries-with-Regional-Codes/master/all/all.csv""), MATCH(C317, INDEX(IMPORTDATA(""https://raw.githubusercontent.com/lukes/ISO-3166-Countries-with-Regional-Codes/master/all/all.csv""), 0"&amp;", 1), 0), 2)"),"NP")</f>
        <v>NP</v>
      </c>
      <c r="E317" s="5" t="s">
        <v>772</v>
      </c>
      <c r="F317" s="5" t="s">
        <v>773</v>
      </c>
      <c r="H317" s="7">
        <v>31399.0</v>
      </c>
      <c r="I317" s="5" t="s">
        <v>156</v>
      </c>
      <c r="J317" s="18" t="s">
        <v>39</v>
      </c>
      <c r="K317" s="20">
        <v>454.0</v>
      </c>
      <c r="L317" s="10" t="s">
        <v>35</v>
      </c>
      <c r="M317" s="6" t="str">
        <f t="shared" si="1"/>
        <v/>
      </c>
    </row>
    <row r="318" ht="22.5" customHeight="1">
      <c r="A318" s="5">
        <f t="shared" si="3"/>
        <v>314</v>
      </c>
      <c r="B318" s="5" t="s">
        <v>774</v>
      </c>
      <c r="C318" s="5" t="s">
        <v>14</v>
      </c>
      <c r="D318" s="6" t="str">
        <f>IFERROR(__xludf.DUMMYFUNCTION("INDEX(IMPORTDATA(""https://raw.githubusercontent.com/lukes/ISO-3166-Countries-with-Regional-Codes/master/all/all.csv""), MATCH(C318, INDEX(IMPORTDATA(""https://raw.githubusercontent.com/lukes/ISO-3166-Countries-with-Regional-Codes/master/all/all.csv""), 0"&amp;", 1), 0), 2)"),"NP")</f>
        <v>NP</v>
      </c>
      <c r="E318" s="5">
        <v>9.81104897E9</v>
      </c>
      <c r="F318" s="5" t="s">
        <v>775</v>
      </c>
      <c r="G318" s="5">
        <v>7150262.0</v>
      </c>
      <c r="H318" s="12">
        <v>38571.0</v>
      </c>
      <c r="I318" s="5" t="s">
        <v>156</v>
      </c>
      <c r="J318" s="18" t="s">
        <v>39</v>
      </c>
      <c r="K318" s="20">
        <v>455.0</v>
      </c>
      <c r="L318" s="10" t="s">
        <v>35</v>
      </c>
      <c r="M318" s="6" t="str">
        <f t="shared" si="1"/>
        <v/>
      </c>
    </row>
    <row r="319" ht="22.5" customHeight="1">
      <c r="A319" s="5">
        <f t="shared" si="3"/>
        <v>315</v>
      </c>
      <c r="B319" s="5" t="s">
        <v>776</v>
      </c>
      <c r="C319" s="5" t="s">
        <v>14</v>
      </c>
      <c r="D319" s="6" t="str">
        <f>IFERROR(__xludf.DUMMYFUNCTION("INDEX(IMPORTDATA(""https://raw.githubusercontent.com/lukes/ISO-3166-Countries-with-Regional-Codes/master/all/all.csv""), MATCH(C319, INDEX(IMPORTDATA(""https://raw.githubusercontent.com/lukes/ISO-3166-Countries-with-Regional-Codes/master/all/all.csv""), 0"&amp;", 1), 0), 2)"),"NP")</f>
        <v>NP</v>
      </c>
      <c r="E319" s="5" t="s">
        <v>777</v>
      </c>
      <c r="F319" s="5" t="s">
        <v>778</v>
      </c>
      <c r="G319" s="5" t="s">
        <v>779</v>
      </c>
      <c r="H319" s="7">
        <v>39894.0</v>
      </c>
      <c r="I319" s="5" t="s">
        <v>156</v>
      </c>
      <c r="J319" s="18" t="s">
        <v>39</v>
      </c>
      <c r="K319" s="20">
        <v>456.0</v>
      </c>
      <c r="L319" s="10" t="s">
        <v>35</v>
      </c>
      <c r="M319" s="6" t="str">
        <f t="shared" si="1"/>
        <v/>
      </c>
    </row>
    <row r="320" ht="22.5" customHeight="1">
      <c r="A320" s="5">
        <f t="shared" si="3"/>
        <v>316</v>
      </c>
      <c r="B320" s="5" t="s">
        <v>780</v>
      </c>
      <c r="C320" s="5" t="s">
        <v>14</v>
      </c>
      <c r="D320" s="6" t="str">
        <f>IFERROR(__xludf.DUMMYFUNCTION("INDEX(IMPORTDATA(""https://raw.githubusercontent.com/lukes/ISO-3166-Countries-with-Regional-Codes/master/all/all.csv""), MATCH(C320, INDEX(IMPORTDATA(""https://raw.githubusercontent.com/lukes/ISO-3166-Countries-with-Regional-Codes/master/all/all.csv""), 0"&amp;", 1), 0), 2)"),"NP")</f>
        <v>NP</v>
      </c>
      <c r="E320" s="5">
        <v>9.843219309E9</v>
      </c>
      <c r="F320" s="5" t="s">
        <v>781</v>
      </c>
      <c r="G320" s="5">
        <v>7203464.0</v>
      </c>
      <c r="H320" s="7">
        <v>35360.0</v>
      </c>
      <c r="I320" s="5" t="s">
        <v>156</v>
      </c>
      <c r="J320" s="18" t="s">
        <v>39</v>
      </c>
      <c r="K320" s="20">
        <v>457.0</v>
      </c>
      <c r="L320" s="10" t="s">
        <v>89</v>
      </c>
      <c r="M320" s="6" t="str">
        <f t="shared" si="1"/>
        <v/>
      </c>
    </row>
    <row r="321" ht="22.5" customHeight="1">
      <c r="A321" s="5">
        <f t="shared" si="3"/>
        <v>317</v>
      </c>
      <c r="B321" s="5" t="s">
        <v>782</v>
      </c>
      <c r="C321" s="5" t="s">
        <v>14</v>
      </c>
      <c r="D321" s="6" t="str">
        <f>IFERROR(__xludf.DUMMYFUNCTION("INDEX(IMPORTDATA(""https://raw.githubusercontent.com/lukes/ISO-3166-Countries-with-Regional-Codes/master/all/all.csv""), MATCH(C321, INDEX(IMPORTDATA(""https://raw.githubusercontent.com/lukes/ISO-3166-Countries-with-Regional-Codes/master/all/all.csv""), 0"&amp;", 1), 0), 2)"),"NP")</f>
        <v>NP</v>
      </c>
      <c r="E321" s="5" t="s">
        <v>783</v>
      </c>
      <c r="F321" s="5" t="s">
        <v>784</v>
      </c>
      <c r="G321" s="5">
        <v>7171931.0</v>
      </c>
      <c r="H321" s="12">
        <v>36867.0</v>
      </c>
      <c r="I321" s="5" t="s">
        <v>156</v>
      </c>
      <c r="J321" s="18" t="s">
        <v>39</v>
      </c>
      <c r="K321" s="20">
        <v>458.0</v>
      </c>
      <c r="L321" s="10" t="s">
        <v>18</v>
      </c>
      <c r="M321" s="6" t="str">
        <f t="shared" si="1"/>
        <v/>
      </c>
    </row>
    <row r="322" ht="22.5" customHeight="1">
      <c r="A322" s="5">
        <f t="shared" si="3"/>
        <v>318</v>
      </c>
      <c r="B322" s="5" t="s">
        <v>785</v>
      </c>
      <c r="C322" s="5" t="s">
        <v>14</v>
      </c>
      <c r="D322" s="6" t="str">
        <f>IFERROR(__xludf.DUMMYFUNCTION("INDEX(IMPORTDATA(""https://raw.githubusercontent.com/lukes/ISO-3166-Countries-with-Regional-Codes/master/all/all.csv""), MATCH(C322, INDEX(IMPORTDATA(""https://raw.githubusercontent.com/lukes/ISO-3166-Countries-with-Regional-Codes/master/all/all.csv""), 0"&amp;", 1), 0), 2)"),"NP")</f>
        <v>NP</v>
      </c>
      <c r="E322" s="5">
        <v>9.841457107E9</v>
      </c>
      <c r="F322" s="5" t="s">
        <v>786</v>
      </c>
      <c r="H322" s="7">
        <v>31582.0</v>
      </c>
      <c r="I322" s="5" t="s">
        <v>156</v>
      </c>
      <c r="J322" s="18" t="s">
        <v>39</v>
      </c>
      <c r="K322" s="20">
        <v>459.0</v>
      </c>
      <c r="L322" s="10" t="s">
        <v>18</v>
      </c>
      <c r="M322" s="6" t="str">
        <f t="shared" si="1"/>
        <v/>
      </c>
    </row>
    <row r="323" ht="22.5" customHeight="1">
      <c r="A323" s="5">
        <f t="shared" si="3"/>
        <v>319</v>
      </c>
      <c r="B323" s="5" t="s">
        <v>787</v>
      </c>
      <c r="C323" s="5" t="s">
        <v>14</v>
      </c>
      <c r="D323" s="6" t="str">
        <f>IFERROR(__xludf.DUMMYFUNCTION("INDEX(IMPORTDATA(""https://raw.githubusercontent.com/lukes/ISO-3166-Countries-with-Regional-Codes/master/all/all.csv""), MATCH(C323, INDEX(IMPORTDATA(""https://raw.githubusercontent.com/lukes/ISO-3166-Countries-with-Regional-Codes/master/all/all.csv""), 0"&amp;", 1), 0), 2)"),"NP")</f>
        <v>NP</v>
      </c>
      <c r="E323" s="5" t="s">
        <v>788</v>
      </c>
      <c r="F323" s="5" t="s">
        <v>789</v>
      </c>
      <c r="G323" s="5">
        <v>7202930.0</v>
      </c>
      <c r="H323" s="12">
        <v>37563.0</v>
      </c>
      <c r="I323" s="5" t="s">
        <v>156</v>
      </c>
      <c r="J323" s="18" t="s">
        <v>39</v>
      </c>
      <c r="K323" s="20">
        <v>460.0</v>
      </c>
      <c r="L323" s="10" t="s">
        <v>35</v>
      </c>
      <c r="M323" s="6" t="str">
        <f t="shared" si="1"/>
        <v/>
      </c>
    </row>
    <row r="324" ht="22.5" customHeight="1">
      <c r="A324" s="5">
        <f t="shared" si="3"/>
        <v>320</v>
      </c>
      <c r="B324" s="5" t="s">
        <v>790</v>
      </c>
      <c r="C324" s="5" t="s">
        <v>14</v>
      </c>
      <c r="D324" s="6" t="str">
        <f>IFERROR(__xludf.DUMMYFUNCTION("INDEX(IMPORTDATA(""https://raw.githubusercontent.com/lukes/ISO-3166-Countries-with-Regional-Codes/master/all/all.csv""), MATCH(C324, INDEX(IMPORTDATA(""https://raw.githubusercontent.com/lukes/ISO-3166-Countries-with-Regional-Codes/master/all/all.csv""), 0"&amp;", 1), 0), 2)"),"NP")</f>
        <v>NP</v>
      </c>
      <c r="E324" s="5">
        <v>9.841978669E9</v>
      </c>
      <c r="F324" s="5" t="s">
        <v>791</v>
      </c>
      <c r="H324" s="7">
        <v>33162.0</v>
      </c>
      <c r="I324" s="5" t="s">
        <v>156</v>
      </c>
      <c r="J324" s="18" t="s">
        <v>39</v>
      </c>
      <c r="K324" s="20">
        <v>461.0</v>
      </c>
      <c r="L324" s="10" t="s">
        <v>35</v>
      </c>
      <c r="M324" s="6" t="str">
        <f t="shared" si="1"/>
        <v/>
      </c>
    </row>
    <row r="325" ht="22.5" customHeight="1">
      <c r="A325" s="5">
        <f t="shared" si="3"/>
        <v>321</v>
      </c>
      <c r="B325" s="5" t="s">
        <v>792</v>
      </c>
      <c r="C325" s="5" t="s">
        <v>14</v>
      </c>
      <c r="D325" s="6" t="str">
        <f>IFERROR(__xludf.DUMMYFUNCTION("INDEX(IMPORTDATA(""https://raw.githubusercontent.com/lukes/ISO-3166-Countries-with-Regional-Codes/master/all/all.csv""), MATCH(C325, INDEX(IMPORTDATA(""https://raw.githubusercontent.com/lukes/ISO-3166-Countries-with-Regional-Codes/master/all/all.csv""), 0"&amp;", 1), 0), 2)"),"NP")</f>
        <v>NP</v>
      </c>
      <c r="E325" s="5">
        <v>9.817095123E9</v>
      </c>
      <c r="F325" s="5" t="s">
        <v>793</v>
      </c>
      <c r="H325" s="7">
        <v>30299.0</v>
      </c>
      <c r="I325" s="5" t="s">
        <v>156</v>
      </c>
      <c r="J325" s="18" t="s">
        <v>39</v>
      </c>
      <c r="K325" s="20">
        <v>462.0</v>
      </c>
      <c r="L325" s="10" t="s">
        <v>18</v>
      </c>
      <c r="M325" s="6" t="str">
        <f t="shared" si="1"/>
        <v/>
      </c>
    </row>
    <row r="326" ht="22.5" customHeight="1">
      <c r="A326" s="5">
        <f t="shared" si="3"/>
        <v>322</v>
      </c>
      <c r="B326" s="5" t="s">
        <v>794</v>
      </c>
      <c r="C326" s="5" t="s">
        <v>14</v>
      </c>
      <c r="D326" s="6" t="str">
        <f>IFERROR(__xludf.DUMMYFUNCTION("INDEX(IMPORTDATA(""https://raw.githubusercontent.com/lukes/ISO-3166-Countries-with-Regional-Codes/master/all/all.csv""), MATCH(C326, INDEX(IMPORTDATA(""https://raw.githubusercontent.com/lukes/ISO-3166-Countries-with-Regional-Codes/master/all/all.csv""), 0"&amp;", 1), 0), 2)"),"NP")</f>
        <v>NP</v>
      </c>
      <c r="E326" s="5">
        <v>9.818217003E9</v>
      </c>
      <c r="F326" s="5" t="s">
        <v>795</v>
      </c>
      <c r="H326" s="12">
        <v>31876.0</v>
      </c>
      <c r="I326" s="5" t="s">
        <v>156</v>
      </c>
      <c r="J326" s="18" t="s">
        <v>39</v>
      </c>
      <c r="K326" s="20">
        <v>463.0</v>
      </c>
      <c r="L326" s="10" t="s">
        <v>35</v>
      </c>
      <c r="M326" s="6" t="str">
        <f t="shared" si="1"/>
        <v/>
      </c>
    </row>
    <row r="327" ht="22.5" customHeight="1">
      <c r="A327" s="5">
        <f t="shared" si="3"/>
        <v>323</v>
      </c>
      <c r="B327" s="5" t="s">
        <v>796</v>
      </c>
      <c r="C327" s="5" t="s">
        <v>14</v>
      </c>
      <c r="D327" s="6" t="str">
        <f>IFERROR(__xludf.DUMMYFUNCTION("INDEX(IMPORTDATA(""https://raw.githubusercontent.com/lukes/ISO-3166-Countries-with-Regional-Codes/master/all/all.csv""), MATCH(C327, INDEX(IMPORTDATA(""https://raw.githubusercontent.com/lukes/ISO-3166-Countries-with-Regional-Codes/master/all/all.csv""), 0"&amp;", 1), 0), 2)"),"NP")</f>
        <v>NP</v>
      </c>
      <c r="E327" s="5">
        <v>9.802397055E9</v>
      </c>
      <c r="F327" s="5" t="s">
        <v>797</v>
      </c>
      <c r="H327" s="7">
        <v>35141.0</v>
      </c>
      <c r="I327" s="5" t="s">
        <v>156</v>
      </c>
      <c r="J327" s="18" t="s">
        <v>39</v>
      </c>
      <c r="K327" s="20">
        <v>464.0</v>
      </c>
      <c r="L327" s="10" t="s">
        <v>35</v>
      </c>
      <c r="M327" s="6" t="str">
        <f t="shared" si="1"/>
        <v/>
      </c>
    </row>
    <row r="328" ht="22.5" customHeight="1">
      <c r="A328" s="5">
        <f t="shared" si="3"/>
        <v>324</v>
      </c>
      <c r="B328" s="5" t="s">
        <v>798</v>
      </c>
      <c r="C328" s="5" t="s">
        <v>14</v>
      </c>
      <c r="D328" s="6" t="str">
        <f>IFERROR(__xludf.DUMMYFUNCTION("INDEX(IMPORTDATA(""https://raw.githubusercontent.com/lukes/ISO-3166-Countries-with-Regional-Codes/master/all/all.csv""), MATCH(C328, INDEX(IMPORTDATA(""https://raw.githubusercontent.com/lukes/ISO-3166-Countries-with-Regional-Codes/master/all/all.csv""), 0"&amp;", 1), 0), 2)"),"NP")</f>
        <v>NP</v>
      </c>
      <c r="E328" s="5">
        <v>9.808814025E9</v>
      </c>
      <c r="F328" s="5" t="s">
        <v>799</v>
      </c>
      <c r="G328" s="5">
        <v>7171993.0</v>
      </c>
      <c r="H328" s="7">
        <v>35636.0</v>
      </c>
      <c r="I328" s="5" t="s">
        <v>156</v>
      </c>
      <c r="J328" s="18" t="s">
        <v>39</v>
      </c>
      <c r="K328" s="20">
        <v>465.0</v>
      </c>
      <c r="L328" s="10" t="s">
        <v>18</v>
      </c>
      <c r="M328" s="6" t="str">
        <f t="shared" si="1"/>
        <v/>
      </c>
    </row>
    <row r="329" ht="22.5" customHeight="1">
      <c r="A329" s="5">
        <f t="shared" si="3"/>
        <v>325</v>
      </c>
      <c r="B329" s="5" t="s">
        <v>800</v>
      </c>
      <c r="C329" s="5" t="s">
        <v>14</v>
      </c>
      <c r="D329" s="6" t="str">
        <f>IFERROR(__xludf.DUMMYFUNCTION("INDEX(IMPORTDATA(""https://raw.githubusercontent.com/lukes/ISO-3166-Countries-with-Regional-Codes/master/all/all.csv""), MATCH(C329, INDEX(IMPORTDATA(""https://raw.githubusercontent.com/lukes/ISO-3166-Countries-with-Regional-Codes/master/all/all.csv""), 0"&amp;", 1), 0), 2)"),"NP")</f>
        <v>NP</v>
      </c>
      <c r="E329" s="5" t="s">
        <v>801</v>
      </c>
      <c r="F329" s="5" t="s">
        <v>802</v>
      </c>
      <c r="G329" s="5">
        <v>7142384.0</v>
      </c>
      <c r="H329" s="7">
        <v>34477.0</v>
      </c>
      <c r="I329" s="5" t="s">
        <v>156</v>
      </c>
      <c r="J329" s="18" t="s">
        <v>39</v>
      </c>
      <c r="K329" s="20">
        <v>466.0</v>
      </c>
      <c r="L329" s="10" t="s">
        <v>18</v>
      </c>
      <c r="M329" s="6" t="str">
        <f t="shared" si="1"/>
        <v/>
      </c>
    </row>
    <row r="330" ht="22.5" customHeight="1">
      <c r="A330" s="5">
        <f t="shared" si="3"/>
        <v>326</v>
      </c>
      <c r="B330" s="5" t="s">
        <v>803</v>
      </c>
      <c r="C330" s="5" t="s">
        <v>14</v>
      </c>
      <c r="D330" s="6" t="str">
        <f>IFERROR(__xludf.DUMMYFUNCTION("INDEX(IMPORTDATA(""https://raw.githubusercontent.com/lukes/ISO-3166-Countries-with-Regional-Codes/master/all/all.csv""), MATCH(C330, INDEX(IMPORTDATA(""https://raw.githubusercontent.com/lukes/ISO-3166-Countries-with-Regional-Codes/master/all/all.csv""), 0"&amp;", 1), 0), 2)"),"NP")</f>
        <v>NP</v>
      </c>
      <c r="E330" s="5">
        <v>9.767251986E9</v>
      </c>
      <c r="F330" s="5" t="s">
        <v>804</v>
      </c>
      <c r="H330" s="12">
        <v>36346.0</v>
      </c>
      <c r="I330" s="5" t="s">
        <v>156</v>
      </c>
      <c r="J330" s="18" t="s">
        <v>39</v>
      </c>
      <c r="K330" s="20">
        <v>467.0</v>
      </c>
      <c r="L330" s="10" t="s">
        <v>35</v>
      </c>
      <c r="M330" s="6" t="str">
        <f t="shared" si="1"/>
        <v/>
      </c>
    </row>
    <row r="331" ht="22.5" customHeight="1">
      <c r="A331" s="5">
        <f t="shared" si="3"/>
        <v>327</v>
      </c>
      <c r="B331" s="5" t="s">
        <v>805</v>
      </c>
      <c r="C331" s="5" t="s">
        <v>14</v>
      </c>
      <c r="D331" s="6" t="str">
        <f>IFERROR(__xludf.DUMMYFUNCTION("INDEX(IMPORTDATA(""https://raw.githubusercontent.com/lukes/ISO-3166-Countries-with-Regional-Codes/master/all/all.csv""), MATCH(C331, INDEX(IMPORTDATA(""https://raw.githubusercontent.com/lukes/ISO-3166-Countries-with-Regional-Codes/master/all/all.csv""), 0"&amp;", 1), 0), 2)"),"NP")</f>
        <v>NP</v>
      </c>
      <c r="E331" s="5">
        <v>9.861930112E9</v>
      </c>
      <c r="F331" s="5" t="s">
        <v>806</v>
      </c>
      <c r="H331" s="7">
        <v>37570.0</v>
      </c>
      <c r="I331" s="5" t="s">
        <v>156</v>
      </c>
      <c r="J331" s="18" t="s">
        <v>39</v>
      </c>
      <c r="K331" s="20">
        <v>468.0</v>
      </c>
      <c r="L331" s="10" t="s">
        <v>35</v>
      </c>
      <c r="M331" s="6" t="str">
        <f t="shared" si="1"/>
        <v/>
      </c>
    </row>
    <row r="332" ht="22.5" customHeight="1">
      <c r="A332" s="5">
        <f t="shared" si="3"/>
        <v>328</v>
      </c>
      <c r="B332" s="5" t="s">
        <v>807</v>
      </c>
      <c r="C332" s="5" t="s">
        <v>14</v>
      </c>
      <c r="D332" s="6" t="str">
        <f>IFERROR(__xludf.DUMMYFUNCTION("INDEX(IMPORTDATA(""https://raw.githubusercontent.com/lukes/ISO-3166-Countries-with-Regional-Codes/master/all/all.csv""), MATCH(C332, INDEX(IMPORTDATA(""https://raw.githubusercontent.com/lukes/ISO-3166-Countries-with-Regional-Codes/master/all/all.csv""), 0"&amp;", 1), 0), 2)"),"NP")</f>
        <v>NP</v>
      </c>
      <c r="E332" s="5" t="s">
        <v>808</v>
      </c>
      <c r="F332" s="5" t="s">
        <v>809</v>
      </c>
      <c r="H332" s="12">
        <v>40027.0</v>
      </c>
      <c r="I332" s="5" t="s">
        <v>156</v>
      </c>
      <c r="J332" s="18" t="s">
        <v>39</v>
      </c>
      <c r="K332" s="20">
        <v>469.0</v>
      </c>
      <c r="L332" s="10" t="s">
        <v>89</v>
      </c>
      <c r="M332" s="6" t="str">
        <f t="shared" si="1"/>
        <v/>
      </c>
    </row>
    <row r="333" ht="22.5" customHeight="1">
      <c r="A333" s="5">
        <f t="shared" si="3"/>
        <v>329</v>
      </c>
      <c r="B333" s="5" t="s">
        <v>810</v>
      </c>
      <c r="C333" s="5" t="s">
        <v>14</v>
      </c>
      <c r="D333" s="6" t="str">
        <f>IFERROR(__xludf.DUMMYFUNCTION("INDEX(IMPORTDATA(""https://raw.githubusercontent.com/lukes/ISO-3166-Countries-with-Regional-Codes/master/all/all.csv""), MATCH(C333, INDEX(IMPORTDATA(""https://raw.githubusercontent.com/lukes/ISO-3166-Countries-with-Regional-Codes/master/all/all.csv""), 0"&amp;", 1), 0), 2)"),"NP")</f>
        <v>NP</v>
      </c>
      <c r="E333" s="5">
        <v>9.851208528E9</v>
      </c>
      <c r="F333" s="5" t="s">
        <v>811</v>
      </c>
      <c r="G333" s="5" t="s">
        <v>812</v>
      </c>
      <c r="H333" s="7">
        <v>32708.0</v>
      </c>
      <c r="I333" s="5" t="s">
        <v>156</v>
      </c>
      <c r="J333" s="18" t="s">
        <v>39</v>
      </c>
      <c r="K333" s="20">
        <v>470.0</v>
      </c>
      <c r="L333" s="10" t="s">
        <v>89</v>
      </c>
      <c r="M333" s="6" t="str">
        <f t="shared" si="1"/>
        <v/>
      </c>
    </row>
    <row r="334" ht="22.5" customHeight="1">
      <c r="A334" s="5">
        <f t="shared" si="3"/>
        <v>330</v>
      </c>
      <c r="B334" s="5" t="s">
        <v>813</v>
      </c>
      <c r="C334" s="5" t="s">
        <v>14</v>
      </c>
      <c r="D334" s="6" t="str">
        <f>IFERROR(__xludf.DUMMYFUNCTION("INDEX(IMPORTDATA(""https://raw.githubusercontent.com/lukes/ISO-3166-Countries-with-Regional-Codes/master/all/all.csv""), MATCH(C334, INDEX(IMPORTDATA(""https://raw.githubusercontent.com/lukes/ISO-3166-Countries-with-Regional-Codes/master/all/all.csv""), 0"&amp;", 1), 0), 2)"),"NP")</f>
        <v>NP</v>
      </c>
      <c r="E334" s="5">
        <v>9.851049084E9</v>
      </c>
      <c r="F334" s="5" t="s">
        <v>814</v>
      </c>
      <c r="G334" s="5">
        <v>6247943.0</v>
      </c>
      <c r="H334" s="7">
        <v>27940.0</v>
      </c>
      <c r="I334" s="5" t="s">
        <v>156</v>
      </c>
      <c r="J334" s="18" t="s">
        <v>39</v>
      </c>
      <c r="K334" s="20">
        <v>471.0</v>
      </c>
      <c r="L334" s="10" t="s">
        <v>35</v>
      </c>
      <c r="M334" s="6" t="str">
        <f t="shared" si="1"/>
        <v/>
      </c>
    </row>
    <row r="335" ht="22.5" customHeight="1">
      <c r="A335" s="5">
        <f t="shared" si="3"/>
        <v>331</v>
      </c>
      <c r="B335" s="5" t="s">
        <v>815</v>
      </c>
      <c r="C335" s="5" t="s">
        <v>14</v>
      </c>
      <c r="D335" s="6" t="str">
        <f>IFERROR(__xludf.DUMMYFUNCTION("INDEX(IMPORTDATA(""https://raw.githubusercontent.com/lukes/ISO-3166-Countries-with-Regional-Codes/master/all/all.csv""), MATCH(C335, INDEX(IMPORTDATA(""https://raw.githubusercontent.com/lukes/ISO-3166-Countries-with-Regional-Codes/master/all/all.csv""), 0"&amp;", 1), 0), 2)"),"NP")</f>
        <v>NP</v>
      </c>
      <c r="E335" s="5" t="s">
        <v>816</v>
      </c>
      <c r="F335" s="5" t="s">
        <v>817</v>
      </c>
      <c r="G335" s="5">
        <v>6190466.0</v>
      </c>
      <c r="H335" s="7">
        <v>32163.0</v>
      </c>
      <c r="I335" s="5" t="s">
        <v>156</v>
      </c>
      <c r="J335" s="18" t="s">
        <v>39</v>
      </c>
      <c r="K335" s="20">
        <v>472.0</v>
      </c>
      <c r="L335" s="10" t="s">
        <v>89</v>
      </c>
      <c r="M335" s="6" t="str">
        <f t="shared" si="1"/>
        <v/>
      </c>
    </row>
    <row r="336" ht="22.5" customHeight="1">
      <c r="A336" s="5">
        <f t="shared" si="3"/>
        <v>332</v>
      </c>
      <c r="B336" s="5" t="s">
        <v>818</v>
      </c>
      <c r="C336" s="5" t="s">
        <v>14</v>
      </c>
      <c r="D336" s="6" t="str">
        <f>IFERROR(__xludf.DUMMYFUNCTION("INDEX(IMPORTDATA(""https://raw.githubusercontent.com/lukes/ISO-3166-Countries-with-Regional-Codes/master/all/all.csv""), MATCH(C336, INDEX(IMPORTDATA(""https://raw.githubusercontent.com/lukes/ISO-3166-Countries-with-Regional-Codes/master/all/all.csv""), 0"&amp;", 1), 0), 2)"),"NP")</f>
        <v>NP</v>
      </c>
      <c r="E336" s="5">
        <v>9.849575565E9</v>
      </c>
      <c r="F336" s="5" t="s">
        <v>819</v>
      </c>
      <c r="H336" s="7">
        <v>33131.0</v>
      </c>
      <c r="I336" s="5" t="s">
        <v>156</v>
      </c>
      <c r="J336" s="18" t="s">
        <v>39</v>
      </c>
      <c r="K336" s="20">
        <v>473.0</v>
      </c>
      <c r="L336" s="10" t="s">
        <v>35</v>
      </c>
      <c r="M336" s="6" t="str">
        <f t="shared" si="1"/>
        <v/>
      </c>
    </row>
    <row r="337" ht="22.5" customHeight="1">
      <c r="A337" s="5">
        <f t="shared" si="3"/>
        <v>333</v>
      </c>
      <c r="B337" s="5" t="s">
        <v>820</v>
      </c>
      <c r="C337" s="5" t="s">
        <v>14</v>
      </c>
      <c r="D337" s="6" t="str">
        <f>IFERROR(__xludf.DUMMYFUNCTION("INDEX(IMPORTDATA(""https://raw.githubusercontent.com/lukes/ISO-3166-Countries-with-Regional-Codes/master/all/all.csv""), MATCH(C337, INDEX(IMPORTDATA(""https://raw.githubusercontent.com/lukes/ISO-3166-Countries-with-Regional-Codes/master/all/all.csv""), 0"&amp;", 1), 0), 2)"),"NP")</f>
        <v>NP</v>
      </c>
      <c r="E337" s="5">
        <v>9.846552609E9</v>
      </c>
      <c r="F337" s="5" t="s">
        <v>821</v>
      </c>
      <c r="G337" s="5">
        <v>6937000.0</v>
      </c>
      <c r="H337" s="7">
        <v>34816.0</v>
      </c>
      <c r="I337" s="5" t="s">
        <v>156</v>
      </c>
      <c r="J337" s="18" t="s">
        <v>39</v>
      </c>
      <c r="K337" s="20">
        <v>474.0</v>
      </c>
      <c r="L337" s="10" t="s">
        <v>35</v>
      </c>
      <c r="M337" s="6" t="str">
        <f t="shared" si="1"/>
        <v/>
      </c>
    </row>
    <row r="338" ht="22.5" customHeight="1">
      <c r="A338" s="5">
        <f t="shared" si="3"/>
        <v>334</v>
      </c>
      <c r="B338" s="5" t="s">
        <v>822</v>
      </c>
      <c r="C338" s="5" t="s">
        <v>14</v>
      </c>
      <c r="D338" s="6" t="str">
        <f>IFERROR(__xludf.DUMMYFUNCTION("INDEX(IMPORTDATA(""https://raw.githubusercontent.com/lukes/ISO-3166-Countries-with-Regional-Codes/master/all/all.csv""), MATCH(C338, INDEX(IMPORTDATA(""https://raw.githubusercontent.com/lukes/ISO-3166-Countries-with-Regional-Codes/master/all/all.csv""), 0"&amp;", 1), 0), 2)"),"NP")</f>
        <v>NP</v>
      </c>
      <c r="E338" s="5" t="s">
        <v>823</v>
      </c>
      <c r="F338" s="5" t="s">
        <v>824</v>
      </c>
      <c r="H338" s="7">
        <v>31520.0</v>
      </c>
      <c r="I338" s="5" t="s">
        <v>156</v>
      </c>
      <c r="J338" s="18" t="s">
        <v>39</v>
      </c>
      <c r="K338" s="20">
        <v>475.0</v>
      </c>
      <c r="L338" s="10" t="s">
        <v>35</v>
      </c>
      <c r="M338" s="6" t="str">
        <f t="shared" si="1"/>
        <v/>
      </c>
    </row>
    <row r="339" ht="22.5" customHeight="1">
      <c r="A339" s="5">
        <f t="shared" si="3"/>
        <v>335</v>
      </c>
      <c r="B339" s="5" t="s">
        <v>825</v>
      </c>
      <c r="C339" s="5" t="s">
        <v>14</v>
      </c>
      <c r="D339" s="6" t="str">
        <f>IFERROR(__xludf.DUMMYFUNCTION("INDEX(IMPORTDATA(""https://raw.githubusercontent.com/lukes/ISO-3166-Countries-with-Regional-Codes/master/all/all.csv""), MATCH(C339, INDEX(IMPORTDATA(""https://raw.githubusercontent.com/lukes/ISO-3166-Countries-with-Regional-Codes/master/all/all.csv""), 0"&amp;", 1), 0), 2)"),"NP")</f>
        <v>NP</v>
      </c>
      <c r="E339" s="5">
        <v>9.745446878E9</v>
      </c>
      <c r="F339" s="5" t="s">
        <v>826</v>
      </c>
      <c r="G339" s="5">
        <v>6939090.0</v>
      </c>
      <c r="H339" s="12">
        <v>36745.0</v>
      </c>
      <c r="I339" s="5" t="s">
        <v>156</v>
      </c>
      <c r="J339" s="18" t="s">
        <v>39</v>
      </c>
      <c r="K339" s="20">
        <v>476.0</v>
      </c>
      <c r="L339" s="10" t="s">
        <v>22</v>
      </c>
      <c r="M339" s="6" t="str">
        <f t="shared" si="1"/>
        <v/>
      </c>
    </row>
    <row r="340" ht="22.5" customHeight="1">
      <c r="A340" s="5">
        <f t="shared" si="3"/>
        <v>336</v>
      </c>
      <c r="B340" s="5" t="s">
        <v>827</v>
      </c>
      <c r="C340" s="5" t="s">
        <v>14</v>
      </c>
      <c r="D340" s="6" t="str">
        <f>IFERROR(__xludf.DUMMYFUNCTION("INDEX(IMPORTDATA(""https://raw.githubusercontent.com/lukes/ISO-3166-Countries-with-Regional-Codes/master/all/all.csv""), MATCH(C340, INDEX(IMPORTDATA(""https://raw.githubusercontent.com/lukes/ISO-3166-Countries-with-Regional-Codes/master/all/all.csv""), 0"&amp;", 1), 0), 2)"),"NP")</f>
        <v>NP</v>
      </c>
      <c r="E340" s="5">
        <v>9.867423831E9</v>
      </c>
      <c r="F340" s="5" t="s">
        <v>828</v>
      </c>
      <c r="H340" s="7">
        <v>37036.0</v>
      </c>
      <c r="I340" s="5" t="s">
        <v>156</v>
      </c>
      <c r="J340" s="18" t="s">
        <v>39</v>
      </c>
      <c r="K340" s="20">
        <v>477.0</v>
      </c>
      <c r="L340" s="10" t="s">
        <v>89</v>
      </c>
      <c r="M340" s="6" t="str">
        <f t="shared" si="1"/>
        <v/>
      </c>
    </row>
    <row r="341" ht="22.5" customHeight="1">
      <c r="A341" s="5">
        <f t="shared" si="3"/>
        <v>337</v>
      </c>
      <c r="B341" s="5" t="s">
        <v>829</v>
      </c>
      <c r="C341" s="5" t="s">
        <v>14</v>
      </c>
      <c r="D341" s="6" t="str">
        <f>IFERROR(__xludf.DUMMYFUNCTION("INDEX(IMPORTDATA(""https://raw.githubusercontent.com/lukes/ISO-3166-Countries-with-Regional-Codes/master/all/all.csv""), MATCH(C341, INDEX(IMPORTDATA(""https://raw.githubusercontent.com/lukes/ISO-3166-Countries-with-Regional-Codes/master/all/all.csv""), 0"&amp;", 1), 0), 2)"),"NP")</f>
        <v>NP</v>
      </c>
      <c r="E341" s="5">
        <v>9.846552609E9</v>
      </c>
      <c r="F341" s="5" t="s">
        <v>830</v>
      </c>
      <c r="G341" s="5">
        <v>6937000.0</v>
      </c>
      <c r="H341" s="7">
        <v>34816.0</v>
      </c>
      <c r="I341" s="5" t="s">
        <v>156</v>
      </c>
      <c r="J341" s="18" t="s">
        <v>39</v>
      </c>
      <c r="K341" s="20">
        <v>478.0</v>
      </c>
      <c r="L341" s="10" t="s">
        <v>18</v>
      </c>
      <c r="M341" s="6" t="str">
        <f t="shared" si="1"/>
        <v/>
      </c>
    </row>
    <row r="342" ht="22.5" customHeight="1">
      <c r="A342" s="5">
        <f t="shared" si="3"/>
        <v>338</v>
      </c>
      <c r="B342" s="5" t="s">
        <v>831</v>
      </c>
      <c r="C342" s="5" t="s">
        <v>14</v>
      </c>
      <c r="D342" s="6" t="str">
        <f>IFERROR(__xludf.DUMMYFUNCTION("INDEX(IMPORTDATA(""https://raw.githubusercontent.com/lukes/ISO-3166-Countries-with-Regional-Codes/master/all/all.csv""), MATCH(C342, INDEX(IMPORTDATA(""https://raw.githubusercontent.com/lukes/ISO-3166-Countries-with-Regional-Codes/master/all/all.csv""), 0"&amp;", 1), 0), 2)"),"NP")</f>
        <v>NP</v>
      </c>
      <c r="E342" s="5" t="s">
        <v>832</v>
      </c>
      <c r="F342" s="5" t="s">
        <v>833</v>
      </c>
      <c r="H342" s="7">
        <v>32378.0</v>
      </c>
      <c r="I342" s="5" t="s">
        <v>156</v>
      </c>
      <c r="J342" s="18" t="s">
        <v>39</v>
      </c>
      <c r="K342" s="20">
        <v>479.0</v>
      </c>
      <c r="L342" s="10" t="s">
        <v>35</v>
      </c>
      <c r="M342" s="6" t="str">
        <f t="shared" si="1"/>
        <v/>
      </c>
    </row>
    <row r="343" ht="22.5" customHeight="1">
      <c r="A343" s="5">
        <f t="shared" si="3"/>
        <v>339</v>
      </c>
      <c r="B343" s="5" t="s">
        <v>834</v>
      </c>
      <c r="C343" s="5" t="s">
        <v>835</v>
      </c>
      <c r="D343" s="6" t="str">
        <f>IFERROR(__xludf.DUMMYFUNCTION("INDEX(IMPORTDATA(""https://raw.githubusercontent.com/lukes/ISO-3166-Countries-with-Regional-Codes/master/all/all.csv""), MATCH(C343, INDEX(IMPORTDATA(""https://raw.githubusercontent.com/lukes/ISO-3166-Countries-with-Regional-Codes/master/all/all.csv""), 0"&amp;", 1), 0), 2)"),"AU")</f>
        <v>AU</v>
      </c>
      <c r="E343" s="5" t="s">
        <v>836</v>
      </c>
      <c r="F343" s="5" t="s">
        <v>837</v>
      </c>
      <c r="G343" s="5">
        <v>7225240.0</v>
      </c>
      <c r="H343" s="12">
        <v>30864.0</v>
      </c>
      <c r="I343" s="5" t="s">
        <v>156</v>
      </c>
      <c r="J343" s="18" t="s">
        <v>39</v>
      </c>
      <c r="K343" s="20">
        <v>480.0</v>
      </c>
      <c r="L343" s="10" t="s">
        <v>18</v>
      </c>
      <c r="M343" s="6" t="str">
        <f t="shared" si="1"/>
        <v/>
      </c>
    </row>
    <row r="344" ht="22.5" customHeight="1">
      <c r="A344" s="5">
        <f t="shared" si="3"/>
        <v>340</v>
      </c>
      <c r="B344" s="5" t="s">
        <v>838</v>
      </c>
      <c r="C344" s="5" t="s">
        <v>835</v>
      </c>
      <c r="D344" s="6" t="str">
        <f>IFERROR(__xludf.DUMMYFUNCTION("INDEX(IMPORTDATA(""https://raw.githubusercontent.com/lukes/ISO-3166-Countries-with-Regional-Codes/master/all/all.csv""), MATCH(C344, INDEX(IMPORTDATA(""https://raw.githubusercontent.com/lukes/ISO-3166-Countries-with-Regional-Codes/master/all/all.csv""), 0"&amp;", 1), 0), 2)"),"AU")</f>
        <v>AU</v>
      </c>
      <c r="E344" s="5">
        <v>9.700047869E9</v>
      </c>
      <c r="F344" s="5" t="s">
        <v>839</v>
      </c>
      <c r="H344" s="12">
        <v>25447.0</v>
      </c>
      <c r="I344" s="5" t="s">
        <v>156</v>
      </c>
      <c r="J344" s="18" t="s">
        <v>39</v>
      </c>
      <c r="K344" s="20">
        <v>481.0</v>
      </c>
      <c r="L344" s="10" t="s">
        <v>35</v>
      </c>
      <c r="M344" s="6" t="str">
        <f t="shared" si="1"/>
        <v/>
      </c>
    </row>
    <row r="345" ht="22.5" customHeight="1">
      <c r="A345" s="5">
        <f t="shared" si="3"/>
        <v>341</v>
      </c>
      <c r="B345" s="5" t="s">
        <v>840</v>
      </c>
      <c r="C345" s="5" t="s">
        <v>134</v>
      </c>
      <c r="D345" s="6" t="str">
        <f>IFERROR(__xludf.DUMMYFUNCTION("INDEX(IMPORTDATA(""https://raw.githubusercontent.com/lukes/ISO-3166-Countries-with-Regional-Codes/master/all/all.csv""), MATCH(C345, INDEX(IMPORTDATA(""https://raw.githubusercontent.com/lukes/ISO-3166-Countries-with-Regional-Codes/master/all/all.csv""), 0"&amp;", 1), 0), 2)"),"AT")</f>
        <v>AT</v>
      </c>
      <c r="E345" s="5" t="s">
        <v>841</v>
      </c>
      <c r="F345" s="5" t="s">
        <v>842</v>
      </c>
      <c r="G345" s="5">
        <v>4370332.0</v>
      </c>
      <c r="H345" s="7">
        <v>36553.0</v>
      </c>
      <c r="I345" s="5" t="s">
        <v>156</v>
      </c>
      <c r="J345" s="18" t="s">
        <v>39</v>
      </c>
      <c r="K345" s="20">
        <v>482.0</v>
      </c>
      <c r="L345" s="10" t="s">
        <v>18</v>
      </c>
      <c r="M345" s="6" t="str">
        <f t="shared" si="1"/>
        <v/>
      </c>
    </row>
    <row r="346" ht="22.5" customHeight="1">
      <c r="A346" s="5">
        <f t="shared" si="3"/>
        <v>342</v>
      </c>
      <c r="B346" s="5" t="s">
        <v>843</v>
      </c>
      <c r="C346" s="5" t="s">
        <v>137</v>
      </c>
      <c r="D346" s="6" t="str">
        <f>IFERROR(__xludf.DUMMYFUNCTION("INDEX(IMPORTDATA(""https://raw.githubusercontent.com/lukes/ISO-3166-Countries-with-Regional-Codes/master/all/all.csv""), MATCH(C346, INDEX(IMPORTDATA(""https://raw.githubusercontent.com/lukes/ISO-3166-Countries-with-Regional-Codes/master/all/all.csv""), 0"&amp;", 1), 0), 2)"),"FR")</f>
        <v>FR</v>
      </c>
      <c r="E346" s="5">
        <v>9.761424559E9</v>
      </c>
      <c r="F346" s="5" t="s">
        <v>844</v>
      </c>
      <c r="H346" s="12">
        <v>31235.0</v>
      </c>
      <c r="I346" s="5" t="s">
        <v>156</v>
      </c>
      <c r="J346" s="18" t="s">
        <v>39</v>
      </c>
      <c r="K346" s="20">
        <v>483.0</v>
      </c>
      <c r="L346" s="10" t="s">
        <v>35</v>
      </c>
      <c r="M346" s="6" t="str">
        <f t="shared" si="1"/>
        <v/>
      </c>
    </row>
    <row r="347" ht="22.5" customHeight="1">
      <c r="A347" s="5">
        <f t="shared" si="3"/>
        <v>343</v>
      </c>
      <c r="B347" s="5" t="s">
        <v>845</v>
      </c>
      <c r="C347" s="5" t="s">
        <v>366</v>
      </c>
      <c r="D347" s="6" t="str">
        <f>IFERROR(__xludf.DUMMYFUNCTION("INDEX(IMPORTDATA(""https://raw.githubusercontent.com/lukes/ISO-3166-Countries-with-Regional-Codes/master/all/all.csv""), MATCH(C347, INDEX(IMPORTDATA(""https://raw.githubusercontent.com/lukes/ISO-3166-Countries-with-Regional-Codes/master/all/all.csv""), 0"&amp;", 1), 0), 2)"),"IN")</f>
        <v>IN</v>
      </c>
      <c r="E347" s="5" t="s">
        <v>846</v>
      </c>
      <c r="F347" s="5" t="s">
        <v>847</v>
      </c>
      <c r="G347" s="5">
        <v>4588931.0</v>
      </c>
      <c r="H347" s="12">
        <v>35916.0</v>
      </c>
      <c r="I347" s="5" t="s">
        <v>156</v>
      </c>
      <c r="J347" s="18" t="s">
        <v>39</v>
      </c>
      <c r="K347" s="20">
        <v>484.0</v>
      </c>
      <c r="L347" s="10" t="s">
        <v>18</v>
      </c>
      <c r="M347" s="6" t="str">
        <f t="shared" si="1"/>
        <v/>
      </c>
    </row>
    <row r="348" ht="22.5" customHeight="1">
      <c r="A348" s="5">
        <f t="shared" si="3"/>
        <v>344</v>
      </c>
      <c r="B348" s="5" t="s">
        <v>848</v>
      </c>
      <c r="C348" s="5" t="s">
        <v>849</v>
      </c>
      <c r="D348" s="6" t="str">
        <f>IFERROR(__xludf.DUMMYFUNCTION("INDEX(IMPORTDATA(""https://raw.githubusercontent.com/lukes/ISO-3166-Countries-with-Regional-Codes/master/all/all.csv""), MATCH(C348, INDEX(IMPORTDATA(""https://raw.githubusercontent.com/lukes/ISO-3166-Countries-with-Regional-Codes/master/all/all.csv""), 0"&amp;", 1), 0), 2)"),"IT")</f>
        <v>IT</v>
      </c>
      <c r="E348" s="5" t="s">
        <v>475</v>
      </c>
      <c r="F348" s="5" t="s">
        <v>476</v>
      </c>
      <c r="H348" s="7">
        <v>37487.0</v>
      </c>
      <c r="I348" s="5" t="s">
        <v>156</v>
      </c>
      <c r="J348" s="18" t="s">
        <v>39</v>
      </c>
      <c r="K348" s="20">
        <v>485.0</v>
      </c>
      <c r="L348" s="10" t="s">
        <v>18</v>
      </c>
      <c r="M348" s="6" t="str">
        <f t="shared" si="1"/>
        <v/>
      </c>
    </row>
    <row r="349" ht="22.5" customHeight="1">
      <c r="A349" s="5">
        <f t="shared" si="3"/>
        <v>345</v>
      </c>
      <c r="B349" s="5" t="s">
        <v>850</v>
      </c>
      <c r="C349" s="5" t="s">
        <v>372</v>
      </c>
      <c r="D349" s="6" t="str">
        <f>IFERROR(__xludf.DUMMYFUNCTION("INDEX(IMPORTDATA(""https://raw.githubusercontent.com/lukes/ISO-3166-Countries-with-Regional-Codes/master/all/all.csv""), MATCH(C349, INDEX(IMPORTDATA(""https://raw.githubusercontent.com/lukes/ISO-3166-Countries-with-Regional-Codes/master/all/all.csv""), 0"&amp;", 1), 0), 2)"),"NO")</f>
        <v>NO</v>
      </c>
      <c r="E349" s="5" t="s">
        <v>851</v>
      </c>
      <c r="F349" s="5" t="s">
        <v>852</v>
      </c>
      <c r="H349" s="12">
        <v>35076.0</v>
      </c>
      <c r="I349" s="5" t="s">
        <v>156</v>
      </c>
      <c r="J349" s="18" t="s">
        <v>39</v>
      </c>
      <c r="K349" s="20">
        <v>486.0</v>
      </c>
      <c r="L349" s="10" t="s">
        <v>35</v>
      </c>
      <c r="M349" s="6" t="str">
        <f t="shared" si="1"/>
        <v/>
      </c>
    </row>
    <row r="350" ht="22.5" customHeight="1">
      <c r="A350" s="5">
        <f t="shared" si="3"/>
        <v>346</v>
      </c>
      <c r="B350" s="5" t="s">
        <v>853</v>
      </c>
      <c r="C350" s="5" t="s">
        <v>495</v>
      </c>
      <c r="D350" s="6" t="str">
        <f>IFERROR(__xludf.DUMMYFUNCTION("INDEX(IMPORTDATA(""https://raw.githubusercontent.com/lukes/ISO-3166-Countries-with-Regional-Codes/master/all/all.csv""), MATCH(C350, INDEX(IMPORTDATA(""https://raw.githubusercontent.com/lukes/ISO-3166-Countries-with-Regional-Codes/master/all/all.csv""), 0"&amp;", 1), 0), 2)"),"PL")</f>
        <v>PL</v>
      </c>
      <c r="E350" s="5" t="s">
        <v>496</v>
      </c>
      <c r="F350" s="5" t="s">
        <v>854</v>
      </c>
      <c r="H350" s="12">
        <v>32884.0</v>
      </c>
      <c r="I350" s="5" t="s">
        <v>156</v>
      </c>
      <c r="J350" s="18" t="s">
        <v>39</v>
      </c>
      <c r="K350" s="20">
        <v>487.0</v>
      </c>
      <c r="L350" s="10" t="s">
        <v>22</v>
      </c>
      <c r="M350" s="6" t="str">
        <f t="shared" si="1"/>
        <v/>
      </c>
    </row>
    <row r="351" ht="22.5" customHeight="1">
      <c r="A351" s="5">
        <f t="shared" si="3"/>
        <v>347</v>
      </c>
      <c r="B351" s="5" t="s">
        <v>855</v>
      </c>
      <c r="C351" s="5" t="s">
        <v>856</v>
      </c>
      <c r="D351" s="6" t="str">
        <f>IFERROR(__xludf.DUMMYFUNCTION("INDEX(IMPORTDATA(""https://raw.githubusercontent.com/lukes/ISO-3166-Countries-with-Regional-Codes/master/all/all.csv""), MATCH(C351, INDEX(IMPORTDATA(""https://raw.githubusercontent.com/lukes/ISO-3166-Countries-with-Regional-Codes/master/all/all.csv""), 0"&amp;", 1), 0), 2)"),"KR")</f>
        <v>KR</v>
      </c>
      <c r="E351" s="5" t="s">
        <v>857</v>
      </c>
      <c r="F351" s="5" t="s">
        <v>858</v>
      </c>
      <c r="H351" s="12">
        <v>29768.0</v>
      </c>
      <c r="I351" s="5" t="s">
        <v>156</v>
      </c>
      <c r="J351" s="18" t="s">
        <v>39</v>
      </c>
      <c r="K351" s="20">
        <v>488.0</v>
      </c>
      <c r="L351" s="10" t="s">
        <v>35</v>
      </c>
      <c r="M351" s="6" t="str">
        <f t="shared" si="1"/>
        <v/>
      </c>
    </row>
    <row r="352" ht="22.5" customHeight="1">
      <c r="A352" s="5">
        <f t="shared" si="3"/>
        <v>348</v>
      </c>
      <c r="B352" s="5" t="s">
        <v>859</v>
      </c>
      <c r="C352" s="5" t="s">
        <v>147</v>
      </c>
      <c r="D352" s="6" t="str">
        <f>IFERROR(__xludf.DUMMYFUNCTION("INDEX(IMPORTDATA(""https://raw.githubusercontent.com/lukes/ISO-3166-Countries-with-Regional-Codes/master/all/all.csv""), MATCH(C352, INDEX(IMPORTDATA(""https://raw.githubusercontent.com/lukes/ISO-3166-Countries-with-Regional-Codes/master/all/all.csv""), 0"&amp;", 1), 0), 2)"),"GB")</f>
        <v>GB</v>
      </c>
      <c r="E352" s="5" t="s">
        <v>860</v>
      </c>
      <c r="F352" s="5" t="s">
        <v>861</v>
      </c>
      <c r="H352" s="7">
        <v>34809.0</v>
      </c>
      <c r="I352" s="5" t="s">
        <v>156</v>
      </c>
      <c r="J352" s="18" t="s">
        <v>39</v>
      </c>
      <c r="K352" s="20">
        <v>489.0</v>
      </c>
      <c r="L352" s="10" t="s">
        <v>18</v>
      </c>
      <c r="M352" s="6" t="str">
        <f t="shared" si="1"/>
        <v/>
      </c>
    </row>
    <row r="353" ht="22.5" customHeight="1">
      <c r="A353" s="5">
        <f t="shared" si="3"/>
        <v>349</v>
      </c>
      <c r="B353" s="5" t="s">
        <v>862</v>
      </c>
      <c r="C353" s="5" t="s">
        <v>151</v>
      </c>
      <c r="D353" s="6" t="str">
        <f>IFERROR(__xludf.DUMMYFUNCTION("INDEX(IMPORTDATA(""https://raw.githubusercontent.com/lukes/ISO-3166-Countries-with-Regional-Codes/master/all/all.csv""), MATCH(C353, INDEX(IMPORTDATA(""https://raw.githubusercontent.com/lukes/ISO-3166-Countries-with-Regional-Codes/master/all/all.csv""), 0"&amp;", 1), 0), 2)"),"US")</f>
        <v>US</v>
      </c>
      <c r="E353" s="5">
        <v>9.802010678E9</v>
      </c>
      <c r="F353" s="5" t="s">
        <v>863</v>
      </c>
      <c r="G353" s="5">
        <v>6976017.0</v>
      </c>
      <c r="H353" s="12">
        <v>40183.0</v>
      </c>
      <c r="I353" s="5" t="s">
        <v>156</v>
      </c>
      <c r="J353" s="18" t="s">
        <v>39</v>
      </c>
      <c r="K353" s="20">
        <v>490.0</v>
      </c>
      <c r="L353" s="10" t="s">
        <v>29</v>
      </c>
      <c r="M353" s="6" t="str">
        <f t="shared" si="1"/>
        <v/>
      </c>
    </row>
    <row r="354" ht="22.5" customHeight="1">
      <c r="A354" s="5">
        <f t="shared" si="3"/>
        <v>350</v>
      </c>
      <c r="B354" s="5" t="s">
        <v>864</v>
      </c>
      <c r="C354" s="5" t="s">
        <v>14</v>
      </c>
      <c r="D354" s="6" t="str">
        <f>IFERROR(__xludf.DUMMYFUNCTION("INDEX(IMPORTDATA(""https://raw.githubusercontent.com/lukes/ISO-3166-Countries-with-Regional-Codes/master/all/all.csv""), MATCH(C354, INDEX(IMPORTDATA(""https://raw.githubusercontent.com/lukes/ISO-3166-Countries-with-Regional-Codes/master/all/all.csv""), 0"&amp;", 1), 0), 2)"),"NP")</f>
        <v>NP</v>
      </c>
      <c r="E354" s="5">
        <v>9.801999646E9</v>
      </c>
      <c r="F354" s="5" t="s">
        <v>865</v>
      </c>
      <c r="G354" s="5"/>
      <c r="H354" s="7">
        <v>40223.0</v>
      </c>
      <c r="I354" s="5" t="s">
        <v>156</v>
      </c>
      <c r="J354" s="18" t="s">
        <v>39</v>
      </c>
      <c r="K354" s="20">
        <v>491.0</v>
      </c>
      <c r="L354" s="10" t="s">
        <v>89</v>
      </c>
      <c r="M354" s="6" t="str">
        <f t="shared" si="1"/>
        <v/>
      </c>
    </row>
    <row r="355" ht="22.5" customHeight="1">
      <c r="A355" s="5">
        <f t="shared" si="3"/>
        <v>351</v>
      </c>
      <c r="B355" s="5" t="s">
        <v>866</v>
      </c>
      <c r="C355" s="5" t="s">
        <v>14</v>
      </c>
      <c r="D355" s="6" t="str">
        <f>IFERROR(__xludf.DUMMYFUNCTION("INDEX(IMPORTDATA(""https://raw.githubusercontent.com/lukes/ISO-3166-Countries-with-Regional-Codes/master/all/all.csv""), MATCH(C355, INDEX(IMPORTDATA(""https://raw.githubusercontent.com/lukes/ISO-3166-Countries-with-Regional-Codes/master/all/all.csv""), 0"&amp;", 1), 0), 2)"),"NP")</f>
        <v>NP</v>
      </c>
      <c r="E355" s="5">
        <v>9.818411584E9</v>
      </c>
      <c r="F355" s="5" t="s">
        <v>867</v>
      </c>
      <c r="G355" s="5"/>
      <c r="H355" s="7">
        <v>36176.0</v>
      </c>
      <c r="I355" s="5" t="s">
        <v>156</v>
      </c>
      <c r="J355" s="18" t="s">
        <v>39</v>
      </c>
      <c r="K355" s="20">
        <v>492.0</v>
      </c>
      <c r="L355" s="10" t="s">
        <v>89</v>
      </c>
      <c r="M355" s="6" t="str">
        <f t="shared" si="1"/>
        <v/>
      </c>
    </row>
    <row r="356" ht="22.5" customHeight="1">
      <c r="A356" s="5">
        <f t="shared" si="3"/>
        <v>352</v>
      </c>
      <c r="B356" s="5" t="s">
        <v>868</v>
      </c>
      <c r="C356" s="5" t="s">
        <v>14</v>
      </c>
      <c r="D356" s="6" t="str">
        <f>IFERROR(__xludf.DUMMYFUNCTION("INDEX(IMPORTDATA(""https://raw.githubusercontent.com/lukes/ISO-3166-Countries-with-Regional-Codes/master/all/all.csv""), MATCH(C356, INDEX(IMPORTDATA(""https://raw.githubusercontent.com/lukes/ISO-3166-Countries-with-Regional-Codes/master/all/all.csv""), 0"&amp;", 1), 0), 2)"),"NP")</f>
        <v>NP</v>
      </c>
      <c r="E356" s="5">
        <v>9.818939108E9</v>
      </c>
      <c r="F356" s="5" t="s">
        <v>487</v>
      </c>
      <c r="H356" s="12">
        <v>32143.0</v>
      </c>
      <c r="I356" s="5" t="s">
        <v>16</v>
      </c>
      <c r="J356" s="18" t="s">
        <v>39</v>
      </c>
      <c r="K356" s="20">
        <v>493.0</v>
      </c>
      <c r="L356" s="10" t="s">
        <v>56</v>
      </c>
      <c r="M356" s="6" t="str">
        <f t="shared" si="1"/>
        <v/>
      </c>
    </row>
    <row r="357" ht="22.5" customHeight="1">
      <c r="A357" s="5">
        <f t="shared" si="3"/>
        <v>353</v>
      </c>
      <c r="B357" s="5" t="s">
        <v>869</v>
      </c>
      <c r="C357" s="5" t="s">
        <v>14</v>
      </c>
      <c r="D357" s="6" t="str">
        <f>IFERROR(__xludf.DUMMYFUNCTION("INDEX(IMPORTDATA(""https://raw.githubusercontent.com/lukes/ISO-3166-Countries-with-Regional-Codes/master/all/all.csv""), MATCH(C357, INDEX(IMPORTDATA(""https://raw.githubusercontent.com/lukes/ISO-3166-Countries-with-Regional-Codes/master/all/all.csv""), 0"&amp;", 1), 0), 2)"),"NP")</f>
        <v>NP</v>
      </c>
      <c r="E357" s="5">
        <v>9.851173568E9</v>
      </c>
      <c r="F357" s="5" t="s">
        <v>870</v>
      </c>
      <c r="H357" s="7">
        <v>28871.0</v>
      </c>
      <c r="I357" s="5" t="s">
        <v>156</v>
      </c>
      <c r="J357" s="18" t="s">
        <v>39</v>
      </c>
      <c r="K357" s="20">
        <v>494.0</v>
      </c>
      <c r="L357" s="10" t="s">
        <v>35</v>
      </c>
      <c r="M357" s="6" t="str">
        <f>IMAGE(CONCATENATE("https://flagsapi.com/",D485,"/flat/64.png"),4,100,100)</f>
        <v/>
      </c>
    </row>
    <row r="358" ht="22.5" customHeight="1">
      <c r="A358" s="5">
        <f t="shared" si="3"/>
        <v>354</v>
      </c>
      <c r="B358" s="21" t="s">
        <v>871</v>
      </c>
      <c r="C358" s="21" t="s">
        <v>14</v>
      </c>
      <c r="D358" s="6" t="str">
        <f>IFERROR(__xludf.DUMMYFUNCTION("INDEX(IMPORTDATA(""https://raw.githubusercontent.com/lukes/ISO-3166-Countries-with-Regional-Codes/master/all/all.csv""), MATCH(C358, INDEX(IMPORTDATA(""https://raw.githubusercontent.com/lukes/ISO-3166-Countries-with-Regional-Codes/master/all/all.csv""), 0"&amp;", 1), 0), 2)"),"NP")</f>
        <v>NP</v>
      </c>
      <c r="E358" s="5">
        <v>9.818411584E9</v>
      </c>
      <c r="F358" s="21" t="s">
        <v>872</v>
      </c>
      <c r="G358" s="21"/>
      <c r="H358" s="22">
        <v>36798.0</v>
      </c>
      <c r="I358" s="21" t="s">
        <v>156</v>
      </c>
      <c r="J358" s="18" t="s">
        <v>39</v>
      </c>
      <c r="K358" s="20">
        <v>495.0</v>
      </c>
      <c r="L358" s="10" t="s">
        <v>89</v>
      </c>
      <c r="M358" s="6" t="str">
        <f t="shared" ref="M358:M367" si="4">IMAGE(CONCATENATE("https://flagsapi.com/",D358,"/flat/64.png"),4,100,100)</f>
        <v/>
      </c>
    </row>
    <row r="359" ht="22.5" customHeight="1">
      <c r="A359" s="5">
        <f t="shared" si="3"/>
        <v>355</v>
      </c>
      <c r="B359" s="21" t="s">
        <v>873</v>
      </c>
      <c r="C359" s="21" t="s">
        <v>14</v>
      </c>
      <c r="D359" s="6" t="str">
        <f>IFERROR(__xludf.DUMMYFUNCTION("INDEX(IMPORTDATA(""https://raw.githubusercontent.com/lukes/ISO-3166-Countries-with-Regional-Codes/master/all/all.csv""), MATCH(C359, INDEX(IMPORTDATA(""https://raw.githubusercontent.com/lukes/ISO-3166-Countries-with-Regional-Codes/master/all/all.csv""), 0"&amp;", 1), 0), 2)"),"NP")</f>
        <v>NP</v>
      </c>
      <c r="E359" s="5">
        <v>9.841639858E9</v>
      </c>
      <c r="F359" s="21" t="s">
        <v>874</v>
      </c>
      <c r="G359" s="21">
        <v>7039150.0</v>
      </c>
      <c r="H359" s="22">
        <v>30787.0</v>
      </c>
      <c r="I359" s="21" t="s">
        <v>156</v>
      </c>
      <c r="J359" s="18" t="s">
        <v>39</v>
      </c>
      <c r="K359" s="20">
        <v>496.0</v>
      </c>
      <c r="L359" s="10" t="s">
        <v>18</v>
      </c>
      <c r="M359" s="6" t="str">
        <f t="shared" si="4"/>
        <v/>
      </c>
    </row>
    <row r="360" ht="22.5" customHeight="1">
      <c r="A360" s="5">
        <f t="shared" si="3"/>
        <v>356</v>
      </c>
      <c r="B360" s="21" t="s">
        <v>875</v>
      </c>
      <c r="C360" s="21" t="s">
        <v>14</v>
      </c>
      <c r="D360" s="6" t="str">
        <f>IFERROR(__xludf.DUMMYFUNCTION("INDEX(IMPORTDATA(""https://raw.githubusercontent.com/lukes/ISO-3166-Countries-with-Regional-Codes/master/all/all.csv""), MATCH(C360, INDEX(IMPORTDATA(""https://raw.githubusercontent.com/lukes/ISO-3166-Countries-with-Regional-Codes/master/all/all.csv""), 0"&amp;", 1), 0), 2)"),"NP")</f>
        <v>NP</v>
      </c>
      <c r="E360" s="5">
        <v>9.866297683E9</v>
      </c>
      <c r="F360" s="21" t="s">
        <v>876</v>
      </c>
      <c r="G360" s="21"/>
      <c r="H360" s="22">
        <v>40720.0</v>
      </c>
      <c r="I360" s="21" t="s">
        <v>156</v>
      </c>
      <c r="J360" s="18" t="s">
        <v>39</v>
      </c>
      <c r="K360" s="20">
        <v>497.0</v>
      </c>
      <c r="L360" s="10" t="s">
        <v>35</v>
      </c>
      <c r="M360" s="6" t="str">
        <f t="shared" si="4"/>
        <v/>
      </c>
    </row>
    <row r="361" ht="22.5" customHeight="1">
      <c r="A361" s="5">
        <f t="shared" si="3"/>
        <v>357</v>
      </c>
      <c r="B361" s="21" t="s">
        <v>877</v>
      </c>
      <c r="C361" s="21" t="s">
        <v>14</v>
      </c>
      <c r="D361" s="6" t="str">
        <f>IFERROR(__xludf.DUMMYFUNCTION("INDEX(IMPORTDATA(""https://raw.githubusercontent.com/lukes/ISO-3166-Countries-with-Regional-Codes/master/all/all.csv""), MATCH(C361, INDEX(IMPORTDATA(""https://raw.githubusercontent.com/lukes/ISO-3166-Countries-with-Regional-Codes/master/all/all.csv""), 0"&amp;", 1), 0), 2)"),"NP")</f>
        <v>NP</v>
      </c>
      <c r="E361" s="5">
        <v>9.765063465E9</v>
      </c>
      <c r="F361" s="21" t="s">
        <v>878</v>
      </c>
      <c r="G361" s="21"/>
      <c r="H361" s="23">
        <v>38458.0</v>
      </c>
      <c r="I361" s="21" t="s">
        <v>156</v>
      </c>
      <c r="J361" s="18" t="s">
        <v>39</v>
      </c>
      <c r="K361" s="20">
        <v>498.0</v>
      </c>
      <c r="L361" s="10" t="s">
        <v>35</v>
      </c>
      <c r="M361" s="6" t="str">
        <f t="shared" si="4"/>
        <v/>
      </c>
    </row>
    <row r="362" ht="22.5" customHeight="1">
      <c r="A362" s="5">
        <f t="shared" si="3"/>
        <v>358</v>
      </c>
      <c r="B362" s="24" t="s">
        <v>879</v>
      </c>
      <c r="C362" s="24" t="s">
        <v>14</v>
      </c>
      <c r="D362" s="6" t="str">
        <f>IFERROR(__xludf.DUMMYFUNCTION("INDEX(IMPORTDATA(""https://raw.githubusercontent.com/lukes/ISO-3166-Countries-with-Regional-Codes/master/all/all.csv""), MATCH(C362, INDEX(IMPORTDATA(""https://raw.githubusercontent.com/lukes/ISO-3166-Countries-with-Regional-Codes/master/all/all.csv""), 0"&amp;", 1), 0), 2)"),"NP")</f>
        <v>NP</v>
      </c>
      <c r="E362" s="5">
        <v>9.865164046E9</v>
      </c>
      <c r="F362" s="21" t="s">
        <v>880</v>
      </c>
      <c r="G362" s="21">
        <v>405.0</v>
      </c>
      <c r="H362" s="23">
        <v>37007.0</v>
      </c>
      <c r="I362" s="21" t="s">
        <v>156</v>
      </c>
      <c r="J362" s="18" t="s">
        <v>39</v>
      </c>
      <c r="K362" s="20">
        <v>499.0</v>
      </c>
      <c r="L362" s="10" t="s">
        <v>18</v>
      </c>
      <c r="M362" s="6" t="str">
        <f t="shared" si="4"/>
        <v/>
      </c>
    </row>
    <row r="363" ht="22.5" customHeight="1">
      <c r="A363" s="5">
        <f t="shared" si="3"/>
        <v>359</v>
      </c>
      <c r="B363" s="24" t="s">
        <v>881</v>
      </c>
      <c r="C363" s="24" t="s">
        <v>14</v>
      </c>
      <c r="D363" s="6" t="str">
        <f>IFERROR(__xludf.DUMMYFUNCTION("INDEX(IMPORTDATA(""https://raw.githubusercontent.com/lukes/ISO-3166-Countries-with-Regional-Codes/master/all/all.csv""), MATCH(C363, INDEX(IMPORTDATA(""https://raw.githubusercontent.com/lukes/ISO-3166-Countries-with-Regional-Codes/master/all/all.csv""), 0"&amp;", 1), 0), 2)"),"NP")</f>
        <v>NP</v>
      </c>
      <c r="E363" s="5">
        <v>9.824190318E9</v>
      </c>
      <c r="F363" s="21" t="s">
        <v>882</v>
      </c>
      <c r="G363" s="22"/>
      <c r="H363" s="23">
        <v>36072.0</v>
      </c>
      <c r="I363" s="21" t="s">
        <v>156</v>
      </c>
      <c r="J363" s="18" t="s">
        <v>39</v>
      </c>
      <c r="K363" s="20">
        <v>500.0</v>
      </c>
      <c r="L363" s="10" t="s">
        <v>18</v>
      </c>
      <c r="M363" s="6" t="str">
        <f t="shared" si="4"/>
        <v/>
      </c>
    </row>
    <row r="364" ht="22.5" customHeight="1">
      <c r="A364" s="5">
        <f t="shared" si="3"/>
        <v>360</v>
      </c>
      <c r="B364" s="5" t="s">
        <v>883</v>
      </c>
      <c r="C364" s="5" t="s">
        <v>14</v>
      </c>
      <c r="D364" s="5" t="s">
        <v>409</v>
      </c>
      <c r="E364" s="25" t="s">
        <v>884</v>
      </c>
      <c r="F364" s="5" t="s">
        <v>885</v>
      </c>
      <c r="G364" s="5"/>
      <c r="H364" s="12">
        <v>37325.0</v>
      </c>
      <c r="I364" s="5" t="s">
        <v>156</v>
      </c>
      <c r="J364" s="18" t="s">
        <v>39</v>
      </c>
      <c r="K364" s="20">
        <v>501.0</v>
      </c>
      <c r="L364" s="15" t="s">
        <v>18</v>
      </c>
      <c r="M364" s="6" t="str">
        <f t="shared" si="4"/>
        <v/>
      </c>
    </row>
    <row r="365" ht="22.5" customHeight="1">
      <c r="A365" s="5">
        <f t="shared" si="3"/>
        <v>361</v>
      </c>
      <c r="B365" s="5" t="s">
        <v>886</v>
      </c>
      <c r="C365" s="5" t="s">
        <v>372</v>
      </c>
      <c r="D365" s="5" t="s">
        <v>887</v>
      </c>
      <c r="E365" s="5">
        <v>9.713986088E9</v>
      </c>
      <c r="F365" s="5" t="s">
        <v>888</v>
      </c>
      <c r="G365" s="5"/>
      <c r="H365" s="12">
        <v>40073.0</v>
      </c>
      <c r="I365" s="5" t="s">
        <v>156</v>
      </c>
      <c r="J365" s="18" t="s">
        <v>39</v>
      </c>
      <c r="K365" s="20">
        <v>502.0</v>
      </c>
      <c r="L365" s="15" t="s">
        <v>18</v>
      </c>
      <c r="M365" s="6" t="str">
        <f t="shared" si="4"/>
        <v/>
      </c>
    </row>
    <row r="366" ht="22.5" customHeight="1">
      <c r="A366" s="5">
        <f t="shared" si="3"/>
        <v>362</v>
      </c>
      <c r="B366" s="5" t="s">
        <v>889</v>
      </c>
      <c r="C366" s="5" t="s">
        <v>151</v>
      </c>
      <c r="D366" s="5" t="s">
        <v>890</v>
      </c>
      <c r="E366" s="5"/>
      <c r="F366" s="5"/>
      <c r="G366" s="5"/>
      <c r="H366" s="12"/>
      <c r="I366" s="5" t="s">
        <v>16</v>
      </c>
      <c r="J366" s="18" t="s">
        <v>39</v>
      </c>
      <c r="K366" s="20">
        <v>503.0</v>
      </c>
      <c r="L366" s="15" t="s">
        <v>18</v>
      </c>
      <c r="M366" s="6" t="str">
        <f t="shared" si="4"/>
        <v/>
      </c>
    </row>
    <row r="367" ht="22.5" customHeight="1">
      <c r="A367" s="5">
        <f t="shared" si="3"/>
        <v>363</v>
      </c>
      <c r="B367" s="5" t="s">
        <v>891</v>
      </c>
      <c r="C367" s="5" t="s">
        <v>151</v>
      </c>
      <c r="D367" s="5" t="s">
        <v>890</v>
      </c>
      <c r="E367" s="5"/>
      <c r="F367" s="5"/>
      <c r="G367" s="5"/>
      <c r="H367" s="12"/>
      <c r="I367" s="5" t="s">
        <v>16</v>
      </c>
      <c r="J367" s="18" t="s">
        <v>39</v>
      </c>
      <c r="K367" s="20">
        <v>504.0</v>
      </c>
      <c r="L367" s="15" t="s">
        <v>18</v>
      </c>
      <c r="M367" s="6" t="str">
        <f t="shared" si="4"/>
        <v/>
      </c>
    </row>
    <row r="368" ht="22.5" customHeight="1">
      <c r="A368" s="5">
        <f t="shared" si="3"/>
        <v>364</v>
      </c>
      <c r="B368" s="5" t="s">
        <v>892</v>
      </c>
      <c r="C368" s="5" t="s">
        <v>14</v>
      </c>
      <c r="D368" s="5" t="s">
        <v>409</v>
      </c>
      <c r="E368" s="5">
        <v>9.809887283E9</v>
      </c>
      <c r="F368" s="5" t="s">
        <v>893</v>
      </c>
      <c r="H368" s="12">
        <v>37677.0</v>
      </c>
      <c r="I368" s="5" t="s">
        <v>156</v>
      </c>
      <c r="J368" s="18" t="s">
        <v>39</v>
      </c>
      <c r="K368" s="20">
        <v>505.0</v>
      </c>
      <c r="L368" s="5" t="s">
        <v>35</v>
      </c>
      <c r="M368" s="6" t="str">
        <f t="shared" ref="M368:M369" si="5">IMAGE(CONCATENATE("https://flagsapi.com/",D486,"/flat/64.png"),4,100,100)</f>
        <v/>
      </c>
    </row>
    <row r="369" ht="22.5" customHeight="1">
      <c r="A369" s="5">
        <f t="shared" si="3"/>
        <v>365</v>
      </c>
      <c r="B369" s="5" t="s">
        <v>894</v>
      </c>
      <c r="C369" s="5" t="s">
        <v>14</v>
      </c>
      <c r="D369" s="6" t="str">
        <f>IFERROR(__xludf.DUMMYFUNCTION("INDEX(IMPORTDATA(""https://raw.githubusercontent.com/lukes/ISO-3166-Countries-with-Regional-Codes/master/all/all.csv""), MATCH(C369, INDEX(IMPORTDATA(""https://raw.githubusercontent.com/lukes/ISO-3166-Countries-with-Regional-Codes/master/all/all.csv""), 0"&amp;", 1), 0), 2)"),"NP")</f>
        <v>NP</v>
      </c>
      <c r="E369" s="5" t="s">
        <v>895</v>
      </c>
      <c r="F369" s="5" t="s">
        <v>896</v>
      </c>
      <c r="G369" s="5">
        <v>7176530.0</v>
      </c>
      <c r="H369" s="7">
        <v>34754.0</v>
      </c>
      <c r="I369" s="5" t="s">
        <v>16</v>
      </c>
      <c r="J369" s="18" t="s">
        <v>39</v>
      </c>
      <c r="K369" s="20">
        <v>506.0</v>
      </c>
      <c r="L369" s="10" t="s">
        <v>29</v>
      </c>
      <c r="M369" s="6" t="str">
        <f t="shared" si="5"/>
        <v/>
      </c>
    </row>
    <row r="370" ht="22.5" customHeight="1">
      <c r="A370" s="5">
        <f t="shared" si="3"/>
        <v>366</v>
      </c>
      <c r="B370" s="5" t="s">
        <v>897</v>
      </c>
      <c r="C370" s="5" t="s">
        <v>14</v>
      </c>
      <c r="D370" s="6" t="str">
        <f>IFERROR(__xludf.DUMMYFUNCTION("INDEX(IMPORTDATA(""https://raw.githubusercontent.com/lukes/ISO-3166-Countries-with-Regional-Codes/master/all/all.csv""), MATCH(C370, INDEX(IMPORTDATA(""https://raw.githubusercontent.com/lukes/ISO-3166-Countries-with-Regional-Codes/master/all/all.csv""), 0"&amp;", 1), 0), 2)"),"NP")</f>
        <v>NP</v>
      </c>
      <c r="E370" s="5">
        <v>9.843676789E9</v>
      </c>
      <c r="F370" s="5" t="s">
        <v>898</v>
      </c>
      <c r="G370" s="5">
        <v>6791619.0</v>
      </c>
      <c r="H370" s="7">
        <v>34316.0</v>
      </c>
      <c r="I370" s="5" t="s">
        <v>16</v>
      </c>
      <c r="J370" s="26" t="s">
        <v>42</v>
      </c>
      <c r="K370" s="27">
        <v>511.0</v>
      </c>
      <c r="L370" s="10" t="s">
        <v>29</v>
      </c>
      <c r="M370" s="6" t="str">
        <f t="shared" ref="M370:M386" si="6">IMAGE(CONCATENATE("https://flagsapi.com/",D370,"/flat/64.png"),4,100,100)</f>
        <v/>
      </c>
    </row>
    <row r="371" ht="22.5" customHeight="1">
      <c r="A371" s="5">
        <f t="shared" si="3"/>
        <v>367</v>
      </c>
      <c r="B371" s="5" t="s">
        <v>899</v>
      </c>
      <c r="C371" s="5" t="s">
        <v>14</v>
      </c>
      <c r="D371" s="6" t="str">
        <f>IFERROR(__xludf.DUMMYFUNCTION("INDEX(IMPORTDATA(""https://raw.githubusercontent.com/lukes/ISO-3166-Countries-with-Regional-Codes/master/all/all.csv""), MATCH(C371, INDEX(IMPORTDATA(""https://raw.githubusercontent.com/lukes/ISO-3166-Countries-with-Regional-Codes/master/all/all.csv""), 0"&amp;", 1), 0), 2)"),"NP")</f>
        <v>NP</v>
      </c>
      <c r="E371" s="5">
        <v>9.841991415E9</v>
      </c>
      <c r="F371" s="5" t="s">
        <v>900</v>
      </c>
      <c r="G371" s="5" t="s">
        <v>899</v>
      </c>
      <c r="H371" s="7">
        <v>37093.0</v>
      </c>
      <c r="I371" s="5" t="s">
        <v>16</v>
      </c>
      <c r="J371" s="26" t="s">
        <v>42</v>
      </c>
      <c r="K371" s="27">
        <v>512.0</v>
      </c>
      <c r="L371" s="10" t="s">
        <v>29</v>
      </c>
      <c r="M371" s="6" t="str">
        <f t="shared" si="6"/>
        <v/>
      </c>
    </row>
    <row r="372" ht="22.5" customHeight="1">
      <c r="A372" s="5">
        <f t="shared" si="3"/>
        <v>368</v>
      </c>
      <c r="B372" s="5" t="s">
        <v>901</v>
      </c>
      <c r="C372" s="5" t="s">
        <v>14</v>
      </c>
      <c r="D372" s="6" t="str">
        <f>IFERROR(__xludf.DUMMYFUNCTION("INDEX(IMPORTDATA(""https://raw.githubusercontent.com/lukes/ISO-3166-Countries-with-Regional-Codes/master/all/all.csv""), MATCH(C372, INDEX(IMPORTDATA(""https://raw.githubusercontent.com/lukes/ISO-3166-Countries-with-Regional-Codes/master/all/all.csv""), 0"&amp;", 1), 0), 2)"),"NP")</f>
        <v>NP</v>
      </c>
      <c r="E372" s="5">
        <v>9.803034442E9</v>
      </c>
      <c r="F372" s="5" t="s">
        <v>902</v>
      </c>
      <c r="H372" s="12">
        <v>37752.0</v>
      </c>
      <c r="I372" s="5" t="s">
        <v>16</v>
      </c>
      <c r="J372" s="26" t="s">
        <v>42</v>
      </c>
      <c r="K372" s="27">
        <v>513.0</v>
      </c>
      <c r="L372" s="10" t="s">
        <v>18</v>
      </c>
      <c r="M372" s="6" t="str">
        <f t="shared" si="6"/>
        <v/>
      </c>
    </row>
    <row r="373" ht="22.5" customHeight="1">
      <c r="A373" s="5">
        <f t="shared" si="3"/>
        <v>369</v>
      </c>
      <c r="B373" s="5" t="s">
        <v>903</v>
      </c>
      <c r="C373" s="5" t="s">
        <v>904</v>
      </c>
      <c r="D373" s="6" t="str">
        <f>IFERROR(__xludf.DUMMYFUNCTION("INDEX(IMPORTDATA(""https://raw.githubusercontent.com/lukes/ISO-3166-Countries-with-Regional-Codes/master/all/all.csv""), MATCH(C373, INDEX(IMPORTDATA(""https://raw.githubusercontent.com/lukes/ISO-3166-Countries-with-Regional-Codes/master/all/all.csv""), 0"&amp;", 1), 0), 2)"),"BD")</f>
        <v>BD</v>
      </c>
      <c r="E373" s="5" t="s">
        <v>905</v>
      </c>
      <c r="F373" s="5" t="s">
        <v>906</v>
      </c>
      <c r="G373" s="5">
        <v>5432954.0</v>
      </c>
      <c r="H373" s="7">
        <v>34746.0</v>
      </c>
      <c r="I373" s="5" t="s">
        <v>16</v>
      </c>
      <c r="J373" s="26" t="s">
        <v>42</v>
      </c>
      <c r="K373" s="27">
        <v>514.0</v>
      </c>
      <c r="L373" s="10" t="s">
        <v>29</v>
      </c>
      <c r="M373" s="6" t="str">
        <f t="shared" si="6"/>
        <v/>
      </c>
    </row>
    <row r="374" ht="22.5" customHeight="1">
      <c r="A374" s="5">
        <f t="shared" si="3"/>
        <v>370</v>
      </c>
      <c r="B374" s="5" t="s">
        <v>907</v>
      </c>
      <c r="C374" s="5" t="s">
        <v>904</v>
      </c>
      <c r="D374" s="6" t="str">
        <f>IFERROR(__xludf.DUMMYFUNCTION("INDEX(IMPORTDATA(""https://raw.githubusercontent.com/lukes/ISO-3166-Countries-with-Regional-Codes/master/all/all.csv""), MATCH(C374, INDEX(IMPORTDATA(""https://raw.githubusercontent.com/lukes/ISO-3166-Countries-with-Regional-Codes/master/all/all.csv""), 0"&amp;", 1), 0), 2)"),"BD")</f>
        <v>BD</v>
      </c>
      <c r="E374" s="5" t="s">
        <v>908</v>
      </c>
      <c r="F374" s="5" t="s">
        <v>909</v>
      </c>
      <c r="G374" s="5">
        <v>6985822.0</v>
      </c>
      <c r="H374" s="7">
        <v>31891.0</v>
      </c>
      <c r="I374" s="5" t="s">
        <v>16</v>
      </c>
      <c r="J374" s="26" t="s">
        <v>42</v>
      </c>
      <c r="K374" s="27">
        <v>515.0</v>
      </c>
      <c r="L374" s="10" t="s">
        <v>29</v>
      </c>
      <c r="M374" s="6" t="str">
        <f t="shared" si="6"/>
        <v/>
      </c>
    </row>
    <row r="375" ht="22.5" customHeight="1">
      <c r="A375" s="5">
        <f t="shared" si="3"/>
        <v>371</v>
      </c>
      <c r="B375" s="5" t="s">
        <v>910</v>
      </c>
      <c r="C375" s="5" t="s">
        <v>911</v>
      </c>
      <c r="D375" s="6" t="str">
        <f>IFERROR(__xludf.DUMMYFUNCTION("INDEX(IMPORTDATA(""https://raw.githubusercontent.com/lukes/ISO-3166-Countries-with-Regional-Codes/master/all/all.csv""), MATCH(C375, INDEX(IMPORTDATA(""https://raw.githubusercontent.com/lukes/ISO-3166-Countries-with-Regional-Codes/master/all/all.csv""), 0"&amp;", 1), 0), 2)"),"BE")</f>
        <v>BE</v>
      </c>
      <c r="E375" s="5" t="s">
        <v>912</v>
      </c>
      <c r="F375" s="5" t="s">
        <v>913</v>
      </c>
      <c r="G375" s="5">
        <v>1193309.0</v>
      </c>
      <c r="H375" s="7">
        <v>31928.0</v>
      </c>
      <c r="I375" s="5" t="s">
        <v>16</v>
      </c>
      <c r="J375" s="26" t="s">
        <v>42</v>
      </c>
      <c r="K375" s="27">
        <v>516.0</v>
      </c>
      <c r="L375" s="10" t="s">
        <v>29</v>
      </c>
      <c r="M375" s="6" t="str">
        <f t="shared" si="6"/>
        <v/>
      </c>
    </row>
    <row r="376" ht="22.5" customHeight="1">
      <c r="A376" s="5">
        <f t="shared" si="3"/>
        <v>372</v>
      </c>
      <c r="B376" s="5" t="s">
        <v>914</v>
      </c>
      <c r="C376" s="5" t="s">
        <v>140</v>
      </c>
      <c r="D376" s="6" t="str">
        <f>IFERROR(__xludf.DUMMYFUNCTION("INDEX(IMPORTDATA(""https://raw.githubusercontent.com/lukes/ISO-3166-Countries-with-Regional-Codes/master/all/all.csv""), MATCH(C376, INDEX(IMPORTDATA(""https://raw.githubusercontent.com/lukes/ISO-3166-Countries-with-Regional-Codes/master/all/all.csv""), 0"&amp;", 1), 0), 2)"),"DE")</f>
        <v>DE</v>
      </c>
      <c r="E376" s="5" t="s">
        <v>915</v>
      </c>
      <c r="F376" s="5" t="s">
        <v>916</v>
      </c>
      <c r="H376" s="7">
        <v>33315.0</v>
      </c>
      <c r="I376" s="5" t="s">
        <v>16</v>
      </c>
      <c r="J376" s="26" t="s">
        <v>42</v>
      </c>
      <c r="K376" s="27">
        <v>517.0</v>
      </c>
      <c r="L376" s="10" t="s">
        <v>18</v>
      </c>
      <c r="M376" s="6" t="str">
        <f t="shared" si="6"/>
        <v/>
      </c>
    </row>
    <row r="377" ht="22.5" customHeight="1">
      <c r="A377" s="5">
        <f t="shared" si="3"/>
        <v>373</v>
      </c>
      <c r="B377" s="5" t="s">
        <v>917</v>
      </c>
      <c r="C377" s="5" t="s">
        <v>918</v>
      </c>
      <c r="D377" s="6" t="str">
        <f>IFERROR(__xludf.DUMMYFUNCTION("INDEX(IMPORTDATA(""https://raw.githubusercontent.com/lukes/ISO-3166-Countries-with-Regional-Codes/master/all/all.csv""), MATCH(C377, INDEX(IMPORTDATA(""https://raw.githubusercontent.com/lukes/ISO-3166-Countries-with-Regional-Codes/master/all/all.csv""), 0"&amp;", 1), 0), 2)"),"HK")</f>
        <v>HK</v>
      </c>
      <c r="E377" s="5" t="s">
        <v>919</v>
      </c>
      <c r="F377" s="5" t="s">
        <v>920</v>
      </c>
      <c r="H377" s="7">
        <v>32495.0</v>
      </c>
      <c r="I377" s="5" t="s">
        <v>16</v>
      </c>
      <c r="J377" s="26" t="s">
        <v>42</v>
      </c>
      <c r="K377" s="27">
        <v>518.0</v>
      </c>
      <c r="L377" s="10" t="s">
        <v>29</v>
      </c>
      <c r="M377" s="6" t="str">
        <f t="shared" si="6"/>
        <v/>
      </c>
    </row>
    <row r="378" ht="22.5" customHeight="1">
      <c r="A378" s="5">
        <f t="shared" si="3"/>
        <v>374</v>
      </c>
      <c r="B378" s="5" t="s">
        <v>921</v>
      </c>
      <c r="C378" s="5" t="s">
        <v>366</v>
      </c>
      <c r="D378" s="6" t="str">
        <f>IFERROR(__xludf.DUMMYFUNCTION("INDEX(IMPORTDATA(""https://raw.githubusercontent.com/lukes/ISO-3166-Countries-with-Regional-Codes/master/all/all.csv""), MATCH(C378, INDEX(IMPORTDATA(""https://raw.githubusercontent.com/lukes/ISO-3166-Countries-with-Regional-Codes/master/all/all.csv""), 0"&amp;", 1), 0), 2)"),"IN")</f>
        <v>IN</v>
      </c>
      <c r="E378" s="5">
        <v>9.18730952149E11</v>
      </c>
      <c r="F378" s="5" t="s">
        <v>922</v>
      </c>
      <c r="H378" s="12">
        <v>32545.0</v>
      </c>
      <c r="I378" s="5" t="s">
        <v>16</v>
      </c>
      <c r="J378" s="26" t="s">
        <v>42</v>
      </c>
      <c r="K378" s="27">
        <v>519.0</v>
      </c>
      <c r="L378" s="10" t="s">
        <v>56</v>
      </c>
      <c r="M378" s="6" t="str">
        <f t="shared" si="6"/>
        <v/>
      </c>
    </row>
    <row r="379" ht="22.5" customHeight="1">
      <c r="A379" s="5">
        <f t="shared" si="3"/>
        <v>375</v>
      </c>
      <c r="B379" s="5" t="s">
        <v>923</v>
      </c>
      <c r="C379" s="5" t="s">
        <v>366</v>
      </c>
      <c r="D379" s="6" t="str">
        <f>IFERROR(__xludf.DUMMYFUNCTION("INDEX(IMPORTDATA(""https://raw.githubusercontent.com/lukes/ISO-3166-Countries-with-Regional-Codes/master/all/all.csv""), MATCH(C379, INDEX(IMPORTDATA(""https://raw.githubusercontent.com/lukes/ISO-3166-Countries-with-Regional-Codes/master/all/all.csv""), 0"&amp;", 1), 0), 2)"),"IN")</f>
        <v>IN</v>
      </c>
      <c r="E379" s="5">
        <v>9.06456965E9</v>
      </c>
      <c r="F379" s="5" t="s">
        <v>924</v>
      </c>
      <c r="H379" s="12">
        <v>30501.0</v>
      </c>
      <c r="I379" s="5" t="s">
        <v>16</v>
      </c>
      <c r="J379" s="26" t="s">
        <v>42</v>
      </c>
      <c r="K379" s="27">
        <v>520.0</v>
      </c>
      <c r="L379" s="10" t="s">
        <v>29</v>
      </c>
      <c r="M379" s="6" t="str">
        <f t="shared" si="6"/>
        <v/>
      </c>
    </row>
    <row r="380" ht="22.5" customHeight="1">
      <c r="A380" s="5">
        <f t="shared" si="3"/>
        <v>376</v>
      </c>
      <c r="B380" s="5" t="s">
        <v>925</v>
      </c>
      <c r="C380" s="5" t="s">
        <v>366</v>
      </c>
      <c r="D380" s="6" t="str">
        <f>IFERROR(__xludf.DUMMYFUNCTION("INDEX(IMPORTDATA(""https://raw.githubusercontent.com/lukes/ISO-3166-Countries-with-Regional-Codes/master/all/all.csv""), MATCH(C380, INDEX(IMPORTDATA(""https://raw.githubusercontent.com/lukes/ISO-3166-Countries-with-Regional-Codes/master/all/all.csv""), 0"&amp;", 1), 0), 2)"),"IN")</f>
        <v>IN</v>
      </c>
      <c r="E380" s="5" t="s">
        <v>926</v>
      </c>
      <c r="F380" s="5" t="s">
        <v>927</v>
      </c>
      <c r="H380" s="12">
        <v>35770.0</v>
      </c>
      <c r="I380" s="5" t="s">
        <v>16</v>
      </c>
      <c r="J380" s="26" t="s">
        <v>42</v>
      </c>
      <c r="K380" s="27">
        <v>521.0</v>
      </c>
      <c r="L380" s="10" t="s">
        <v>29</v>
      </c>
      <c r="M380" s="6" t="str">
        <f t="shared" si="6"/>
        <v/>
      </c>
    </row>
    <row r="381" ht="22.5" customHeight="1">
      <c r="A381" s="5">
        <f t="shared" si="3"/>
        <v>377</v>
      </c>
      <c r="B381" s="5" t="s">
        <v>928</v>
      </c>
      <c r="C381" s="5" t="s">
        <v>366</v>
      </c>
      <c r="D381" s="6" t="str">
        <f>IFERROR(__xludf.DUMMYFUNCTION("INDEX(IMPORTDATA(""https://raw.githubusercontent.com/lukes/ISO-3166-Countries-with-Regional-Codes/master/all/all.csv""), MATCH(C381, INDEX(IMPORTDATA(""https://raw.githubusercontent.com/lukes/ISO-3166-Countries-with-Regional-Codes/master/all/all.csv""), 0"&amp;", 1), 0), 2)"),"IN")</f>
        <v>IN</v>
      </c>
      <c r="E381" s="5" t="s">
        <v>929</v>
      </c>
      <c r="F381" s="5" t="s">
        <v>930</v>
      </c>
      <c r="G381" s="5">
        <v>5432952.0</v>
      </c>
      <c r="H381" s="12">
        <v>34975.0</v>
      </c>
      <c r="I381" s="5" t="s">
        <v>16</v>
      </c>
      <c r="J381" s="26" t="s">
        <v>42</v>
      </c>
      <c r="K381" s="27">
        <v>522.0</v>
      </c>
      <c r="L381" s="10" t="s">
        <v>18</v>
      </c>
      <c r="M381" s="6" t="str">
        <f t="shared" si="6"/>
        <v/>
      </c>
    </row>
    <row r="382" ht="22.5" customHeight="1">
      <c r="A382" s="5">
        <f t="shared" si="3"/>
        <v>378</v>
      </c>
      <c r="B382" s="5" t="s">
        <v>931</v>
      </c>
      <c r="C382" s="5" t="s">
        <v>366</v>
      </c>
      <c r="D382" s="6" t="str">
        <f>IFERROR(__xludf.DUMMYFUNCTION("INDEX(IMPORTDATA(""https://raw.githubusercontent.com/lukes/ISO-3166-Countries-with-Regional-Codes/master/all/all.csv""), MATCH(C382, INDEX(IMPORTDATA(""https://raw.githubusercontent.com/lukes/ISO-3166-Countries-with-Regional-Codes/master/all/all.csv""), 0"&amp;", 1), 0), 2)"),"IN")</f>
        <v>IN</v>
      </c>
      <c r="E382" s="5" t="s">
        <v>932</v>
      </c>
      <c r="F382" s="5" t="s">
        <v>933</v>
      </c>
      <c r="H382" s="12">
        <v>33362.0</v>
      </c>
      <c r="I382" s="5" t="s">
        <v>16</v>
      </c>
      <c r="J382" s="26" t="s">
        <v>42</v>
      </c>
      <c r="K382" s="27">
        <v>523.0</v>
      </c>
      <c r="L382" s="10" t="s">
        <v>29</v>
      </c>
      <c r="M382" s="6" t="str">
        <f t="shared" si="6"/>
        <v/>
      </c>
    </row>
    <row r="383" ht="22.5" customHeight="1">
      <c r="A383" s="5">
        <f t="shared" si="3"/>
        <v>379</v>
      </c>
      <c r="B383" s="5" t="s">
        <v>934</v>
      </c>
      <c r="C383" s="5" t="s">
        <v>366</v>
      </c>
      <c r="D383" s="6" t="str">
        <f>IFERROR(__xludf.DUMMYFUNCTION("INDEX(IMPORTDATA(""https://raw.githubusercontent.com/lukes/ISO-3166-Countries-with-Regional-Codes/master/all/all.csv""), MATCH(C383, INDEX(IMPORTDATA(""https://raw.githubusercontent.com/lukes/ISO-3166-Countries-with-Regional-Codes/master/all/all.csv""), 0"&amp;", 1), 0), 2)"),"IN")</f>
        <v>IN</v>
      </c>
      <c r="E383" s="5" t="s">
        <v>935</v>
      </c>
      <c r="F383" s="5" t="s">
        <v>936</v>
      </c>
      <c r="H383" s="7">
        <v>28900.0</v>
      </c>
      <c r="I383" s="5" t="s">
        <v>16</v>
      </c>
      <c r="J383" s="26" t="s">
        <v>42</v>
      </c>
      <c r="K383" s="27">
        <v>524.0</v>
      </c>
      <c r="L383" s="10" t="s">
        <v>35</v>
      </c>
      <c r="M383" s="6" t="str">
        <f t="shared" si="6"/>
        <v/>
      </c>
    </row>
    <row r="384" ht="22.5" customHeight="1">
      <c r="A384" s="5">
        <f t="shared" si="3"/>
        <v>380</v>
      </c>
      <c r="B384" s="5" t="s">
        <v>937</v>
      </c>
      <c r="C384" s="5" t="s">
        <v>938</v>
      </c>
      <c r="D384" s="6" t="str">
        <f>IFERROR(__xludf.DUMMYFUNCTION("INDEX(IMPORTDATA(""https://raw.githubusercontent.com/lukes/ISO-3166-Countries-with-Regional-Codes/master/all/all.csv""), MATCH(C384, INDEX(IMPORTDATA(""https://raw.githubusercontent.com/lukes/ISO-3166-Countries-with-Regional-Codes/master/all/all.csv""), 0"&amp;", 1), 0), 2)"),"JP")</f>
        <v>JP</v>
      </c>
      <c r="E384" s="5" t="s">
        <v>939</v>
      </c>
      <c r="F384" s="5" t="s">
        <v>940</v>
      </c>
      <c r="G384" s="5">
        <v>6999668.0</v>
      </c>
      <c r="H384" s="7">
        <v>34416.0</v>
      </c>
      <c r="I384" s="5" t="s">
        <v>16</v>
      </c>
      <c r="J384" s="26" t="s">
        <v>42</v>
      </c>
      <c r="K384" s="27">
        <v>525.0</v>
      </c>
      <c r="L384" s="10" t="s">
        <v>18</v>
      </c>
      <c r="M384" s="6" t="str">
        <f t="shared" si="6"/>
        <v/>
      </c>
    </row>
    <row r="385" ht="22.5" customHeight="1">
      <c r="A385" s="5">
        <f t="shared" si="3"/>
        <v>381</v>
      </c>
      <c r="B385" s="5" t="s">
        <v>941</v>
      </c>
      <c r="C385" s="5" t="s">
        <v>942</v>
      </c>
      <c r="D385" s="6" t="str">
        <f>IFERROR(__xludf.DUMMYFUNCTION("INDEX(IMPORTDATA(""https://raw.githubusercontent.com/lukes/ISO-3166-Countries-with-Regional-Codes/master/all/all.csv""), MATCH(C385, INDEX(IMPORTDATA(""https://raw.githubusercontent.com/lukes/ISO-3166-Countries-with-Regional-Codes/master/all/all.csv""), 0"&amp;", 1), 0), 2)"),"NL")</f>
        <v>NL</v>
      </c>
      <c r="E385" s="5" t="s">
        <v>943</v>
      </c>
      <c r="F385" s="5" t="s">
        <v>944</v>
      </c>
      <c r="H385" s="7">
        <v>28812.0</v>
      </c>
      <c r="I385" s="5" t="s">
        <v>16</v>
      </c>
      <c r="J385" s="26" t="s">
        <v>42</v>
      </c>
      <c r="K385" s="27">
        <v>526.0</v>
      </c>
      <c r="L385" s="10" t="s">
        <v>18</v>
      </c>
      <c r="M385" s="6" t="str">
        <f t="shared" si="6"/>
        <v/>
      </c>
    </row>
    <row r="386" ht="22.5" customHeight="1">
      <c r="A386" s="5">
        <f t="shared" si="3"/>
        <v>382</v>
      </c>
      <c r="B386" s="5" t="s">
        <v>945</v>
      </c>
      <c r="C386" s="5" t="s">
        <v>946</v>
      </c>
      <c r="D386" s="6" t="str">
        <f>IFERROR(__xludf.DUMMYFUNCTION("INDEX(IMPORTDATA(""https://raw.githubusercontent.com/lukes/ISO-3166-Countries-with-Regional-Codes/master/all/all.csv""), MATCH(C386, INDEX(IMPORTDATA(""https://raw.githubusercontent.com/lukes/ISO-3166-Countries-with-Regional-Codes/master/all/all.csv""), 0"&amp;", 1), 0), 2)"),"SG")</f>
        <v>SG</v>
      </c>
      <c r="E386" s="5" t="s">
        <v>947</v>
      </c>
      <c r="F386" s="5" t="s">
        <v>948</v>
      </c>
      <c r="H386" s="7">
        <v>29826.0</v>
      </c>
      <c r="I386" s="5" t="s">
        <v>16</v>
      </c>
      <c r="J386" s="26" t="s">
        <v>42</v>
      </c>
      <c r="K386" s="27">
        <v>527.0</v>
      </c>
      <c r="L386" s="10" t="s">
        <v>18</v>
      </c>
      <c r="M386" s="6" t="str">
        <f t="shared" si="6"/>
        <v/>
      </c>
    </row>
    <row r="387" ht="22.5" customHeight="1">
      <c r="A387" s="5">
        <f t="shared" si="3"/>
        <v>383</v>
      </c>
      <c r="B387" s="5" t="s">
        <v>949</v>
      </c>
      <c r="C387" s="5" t="s">
        <v>14</v>
      </c>
      <c r="D387" s="6" t="s">
        <v>409</v>
      </c>
      <c r="E387" s="5">
        <v>9.851152844E9</v>
      </c>
      <c r="F387" s="5" t="s">
        <v>950</v>
      </c>
      <c r="G387" s="5"/>
      <c r="H387" s="7">
        <v>31406.0</v>
      </c>
      <c r="I387" s="5" t="s">
        <v>156</v>
      </c>
      <c r="J387" s="26" t="s">
        <v>42</v>
      </c>
      <c r="K387" s="27">
        <v>528.0</v>
      </c>
      <c r="L387" s="10" t="s">
        <v>29</v>
      </c>
      <c r="M387" s="6"/>
    </row>
    <row r="388" ht="22.5" customHeight="1">
      <c r="A388" s="5">
        <f t="shared" si="3"/>
        <v>384</v>
      </c>
      <c r="B388" s="5" t="s">
        <v>951</v>
      </c>
      <c r="C388" s="5" t="s">
        <v>14</v>
      </c>
      <c r="D388" s="6" t="str">
        <f>IFERROR(__xludf.DUMMYFUNCTION("INDEX(IMPORTDATA(""https://raw.githubusercontent.com/lukes/ISO-3166-Countries-with-Regional-Codes/master/all/all.csv""), MATCH(C388, INDEX(IMPORTDATA(""https://raw.githubusercontent.com/lukes/ISO-3166-Countries-with-Regional-Codes/master/all/all.csv""), 0"&amp;", 1), 0), 2)"),"NP")</f>
        <v>NP</v>
      </c>
      <c r="E388" s="5">
        <v>9.862244267E9</v>
      </c>
      <c r="F388" s="5" t="s">
        <v>952</v>
      </c>
      <c r="H388" s="12">
        <v>38726.0</v>
      </c>
      <c r="I388" s="5" t="s">
        <v>156</v>
      </c>
      <c r="J388" s="26" t="s">
        <v>42</v>
      </c>
      <c r="K388" s="27">
        <v>529.0</v>
      </c>
      <c r="L388" s="10" t="s">
        <v>29</v>
      </c>
      <c r="M388" s="6" t="str">
        <f t="shared" ref="M388:M605" si="7">IMAGE(CONCATENATE("https://flagsapi.com/",D388,"/flat/64.png"),4,100,100)</f>
        <v/>
      </c>
    </row>
    <row r="389" ht="22.5" customHeight="1">
      <c r="A389" s="5">
        <f t="shared" si="3"/>
        <v>385</v>
      </c>
      <c r="B389" s="5" t="s">
        <v>953</v>
      </c>
      <c r="C389" s="5" t="s">
        <v>14</v>
      </c>
      <c r="D389" s="6" t="str">
        <f>IFERROR(__xludf.DUMMYFUNCTION("INDEX(IMPORTDATA(""https://raw.githubusercontent.com/lukes/ISO-3166-Countries-with-Regional-Codes/master/all/all.csv""), MATCH(C389, INDEX(IMPORTDATA(""https://raw.githubusercontent.com/lukes/ISO-3166-Countries-with-Regional-Codes/master/all/all.csv""), 0"&amp;", 1), 0), 2)"),"NP")</f>
        <v>NP</v>
      </c>
      <c r="E389" s="5">
        <v>9.713540998E9</v>
      </c>
      <c r="F389" s="5" t="s">
        <v>954</v>
      </c>
      <c r="G389" s="5" t="s">
        <v>955</v>
      </c>
      <c r="H389" s="7">
        <v>36737.0</v>
      </c>
      <c r="I389" s="5" t="s">
        <v>156</v>
      </c>
      <c r="J389" s="26" t="s">
        <v>42</v>
      </c>
      <c r="K389" s="27">
        <v>530.0</v>
      </c>
      <c r="L389" s="10" t="s">
        <v>18</v>
      </c>
      <c r="M389" s="6" t="str">
        <f t="shared" si="7"/>
        <v/>
      </c>
    </row>
    <row r="390" ht="22.5" customHeight="1">
      <c r="A390" s="5">
        <f t="shared" si="3"/>
        <v>386</v>
      </c>
      <c r="B390" s="5" t="s">
        <v>956</v>
      </c>
      <c r="C390" s="5" t="s">
        <v>14</v>
      </c>
      <c r="D390" s="6" t="str">
        <f>IFERROR(__xludf.DUMMYFUNCTION("INDEX(IMPORTDATA(""https://raw.githubusercontent.com/lukes/ISO-3166-Countries-with-Regional-Codes/master/all/all.csv""), MATCH(C390, INDEX(IMPORTDATA(""https://raw.githubusercontent.com/lukes/ISO-3166-Countries-with-Regional-Codes/master/all/all.csv""), 0"&amp;", 1), 0), 2)"),"NP")</f>
        <v>NP</v>
      </c>
      <c r="E390" s="5">
        <v>9.841741817E9</v>
      </c>
      <c r="F390" s="5" t="s">
        <v>957</v>
      </c>
      <c r="H390" s="12">
        <v>31630.0</v>
      </c>
      <c r="I390" s="5" t="s">
        <v>156</v>
      </c>
      <c r="J390" s="26" t="s">
        <v>42</v>
      </c>
      <c r="K390" s="27">
        <v>531.0</v>
      </c>
      <c r="L390" s="10" t="s">
        <v>18</v>
      </c>
      <c r="M390" s="6" t="str">
        <f t="shared" si="7"/>
        <v/>
      </c>
    </row>
    <row r="391" ht="22.5" customHeight="1">
      <c r="A391" s="5">
        <f t="shared" si="3"/>
        <v>387</v>
      </c>
      <c r="B391" s="5" t="s">
        <v>958</v>
      </c>
      <c r="C391" s="5" t="s">
        <v>14</v>
      </c>
      <c r="D391" s="6" t="str">
        <f>IFERROR(__xludf.DUMMYFUNCTION("INDEX(IMPORTDATA(""https://raw.githubusercontent.com/lukes/ISO-3166-Countries-with-Regional-Codes/master/all/all.csv""), MATCH(C391, INDEX(IMPORTDATA(""https://raw.githubusercontent.com/lukes/ISO-3166-Countries-with-Regional-Codes/master/all/all.csv""), 0"&amp;", 1), 0), 2)"),"NP")</f>
        <v>NP</v>
      </c>
      <c r="E391" s="5">
        <v>9.851106247E9</v>
      </c>
      <c r="F391" s="5" t="s">
        <v>959</v>
      </c>
      <c r="H391" s="7">
        <v>30310.0</v>
      </c>
      <c r="I391" s="5" t="s">
        <v>156</v>
      </c>
      <c r="J391" s="26" t="s">
        <v>42</v>
      </c>
      <c r="K391" s="27">
        <v>532.0</v>
      </c>
      <c r="L391" s="10" t="s">
        <v>35</v>
      </c>
      <c r="M391" s="6" t="str">
        <f t="shared" si="7"/>
        <v/>
      </c>
    </row>
    <row r="392" ht="22.5" customHeight="1">
      <c r="A392" s="5">
        <f t="shared" si="3"/>
        <v>388</v>
      </c>
      <c r="B392" s="5" t="s">
        <v>960</v>
      </c>
      <c r="C392" s="5" t="s">
        <v>14</v>
      </c>
      <c r="D392" s="6" t="str">
        <f>IFERROR(__xludf.DUMMYFUNCTION("INDEX(IMPORTDATA(""https://raw.githubusercontent.com/lukes/ISO-3166-Countries-with-Regional-Codes/master/all/all.csv""), MATCH(C392, INDEX(IMPORTDATA(""https://raw.githubusercontent.com/lukes/ISO-3166-Countries-with-Regional-Codes/master/all/all.csv""), 0"&amp;", 1), 0), 2)"),"NP")</f>
        <v>NP</v>
      </c>
      <c r="E392" s="5">
        <v>9.851130882E9</v>
      </c>
      <c r="F392" s="5" t="s">
        <v>961</v>
      </c>
      <c r="H392" s="12">
        <v>29224.0</v>
      </c>
      <c r="I392" s="5" t="s">
        <v>156</v>
      </c>
      <c r="J392" s="26" t="s">
        <v>42</v>
      </c>
      <c r="K392" s="27">
        <v>533.0</v>
      </c>
      <c r="L392" s="10" t="s">
        <v>35</v>
      </c>
      <c r="M392" s="6" t="str">
        <f t="shared" si="7"/>
        <v/>
      </c>
    </row>
    <row r="393" ht="22.5" customHeight="1">
      <c r="A393" s="5">
        <f t="shared" si="3"/>
        <v>389</v>
      </c>
      <c r="B393" s="5" t="s">
        <v>962</v>
      </c>
      <c r="C393" s="5" t="s">
        <v>14</v>
      </c>
      <c r="D393" s="6" t="str">
        <f>IFERROR(__xludf.DUMMYFUNCTION("INDEX(IMPORTDATA(""https://raw.githubusercontent.com/lukes/ISO-3166-Countries-with-Regional-Codes/master/all/all.csv""), MATCH(C393, INDEX(IMPORTDATA(""https://raw.githubusercontent.com/lukes/ISO-3166-Countries-with-Regional-Codes/master/all/all.csv""), 0"&amp;", 1), 0), 2)"),"NP")</f>
        <v>NP</v>
      </c>
      <c r="E393" s="5">
        <v>9.849192257E9</v>
      </c>
      <c r="F393" s="5" t="s">
        <v>963</v>
      </c>
      <c r="H393" s="7">
        <v>29938.0</v>
      </c>
      <c r="I393" s="5" t="s">
        <v>156</v>
      </c>
      <c r="J393" s="26" t="s">
        <v>42</v>
      </c>
      <c r="K393" s="27">
        <v>534.0</v>
      </c>
      <c r="L393" s="10" t="s">
        <v>18</v>
      </c>
      <c r="M393" s="6" t="str">
        <f t="shared" si="7"/>
        <v/>
      </c>
    </row>
    <row r="394" ht="22.5" customHeight="1">
      <c r="A394" s="5">
        <f t="shared" si="3"/>
        <v>390</v>
      </c>
      <c r="B394" s="5" t="s">
        <v>964</v>
      </c>
      <c r="C394" s="5" t="s">
        <v>14</v>
      </c>
      <c r="D394" s="6" t="str">
        <f>IFERROR(__xludf.DUMMYFUNCTION("INDEX(IMPORTDATA(""https://raw.githubusercontent.com/lukes/ISO-3166-Countries-with-Regional-Codes/master/all/all.csv""), MATCH(C394, INDEX(IMPORTDATA(""https://raw.githubusercontent.com/lukes/ISO-3166-Countries-with-Regional-Codes/master/all/all.csv""), 0"&amp;", 1), 0), 2)"),"NP")</f>
        <v>NP</v>
      </c>
      <c r="E394" s="5">
        <v>9.851127788E9</v>
      </c>
      <c r="F394" s="5" t="s">
        <v>965</v>
      </c>
      <c r="H394" s="12">
        <v>30446.0</v>
      </c>
      <c r="I394" s="5" t="s">
        <v>156</v>
      </c>
      <c r="J394" s="26" t="s">
        <v>42</v>
      </c>
      <c r="K394" s="27">
        <v>535.0</v>
      </c>
      <c r="L394" s="10" t="s">
        <v>35</v>
      </c>
      <c r="M394" s="6" t="str">
        <f t="shared" si="7"/>
        <v/>
      </c>
    </row>
    <row r="395" ht="22.5" customHeight="1">
      <c r="A395" s="5">
        <f t="shared" si="3"/>
        <v>391</v>
      </c>
      <c r="B395" s="5" t="s">
        <v>966</v>
      </c>
      <c r="C395" s="5" t="s">
        <v>14</v>
      </c>
      <c r="D395" s="6" t="str">
        <f>IFERROR(__xludf.DUMMYFUNCTION("INDEX(IMPORTDATA(""https://raw.githubusercontent.com/lukes/ISO-3166-Countries-with-Regional-Codes/master/all/all.csv""), MATCH(C395, INDEX(IMPORTDATA(""https://raw.githubusercontent.com/lukes/ISO-3166-Countries-with-Regional-Codes/master/all/all.csv""), 0"&amp;", 1), 0), 2)"),"NP")</f>
        <v>NP</v>
      </c>
      <c r="E395" s="5">
        <v>9.748284828E9</v>
      </c>
      <c r="F395" s="5" t="s">
        <v>967</v>
      </c>
      <c r="G395" s="5">
        <v>6731801.0</v>
      </c>
      <c r="H395" s="12">
        <v>38515.0</v>
      </c>
      <c r="I395" s="5" t="s">
        <v>156</v>
      </c>
      <c r="J395" s="26" t="s">
        <v>42</v>
      </c>
      <c r="K395" s="27">
        <v>536.0</v>
      </c>
      <c r="L395" s="10" t="s">
        <v>18</v>
      </c>
      <c r="M395" s="6" t="str">
        <f t="shared" si="7"/>
        <v/>
      </c>
    </row>
    <row r="396" ht="22.5" customHeight="1">
      <c r="A396" s="5">
        <f t="shared" si="3"/>
        <v>392</v>
      </c>
      <c r="B396" s="5" t="s">
        <v>968</v>
      </c>
      <c r="C396" s="5" t="s">
        <v>14</v>
      </c>
      <c r="D396" s="6" t="str">
        <f>IFERROR(__xludf.DUMMYFUNCTION("INDEX(IMPORTDATA(""https://raw.githubusercontent.com/lukes/ISO-3166-Countries-with-Regional-Codes/master/all/all.csv""), MATCH(C396, INDEX(IMPORTDATA(""https://raw.githubusercontent.com/lukes/ISO-3166-Countries-with-Regional-Codes/master/all/all.csv""), 0"&amp;", 1), 0), 2)"),"NP")</f>
        <v>NP</v>
      </c>
      <c r="E396" s="5">
        <v>9.813447644E9</v>
      </c>
      <c r="F396" s="5" t="s">
        <v>969</v>
      </c>
      <c r="H396" s="12">
        <v>34282.0</v>
      </c>
      <c r="I396" s="5" t="s">
        <v>156</v>
      </c>
      <c r="J396" s="26" t="s">
        <v>42</v>
      </c>
      <c r="K396" s="27">
        <v>537.0</v>
      </c>
      <c r="L396" s="10" t="s">
        <v>29</v>
      </c>
      <c r="M396" s="6" t="str">
        <f t="shared" si="7"/>
        <v/>
      </c>
    </row>
    <row r="397" ht="22.5" customHeight="1">
      <c r="A397" s="5">
        <f t="shared" si="3"/>
        <v>393</v>
      </c>
      <c r="B397" s="5" t="s">
        <v>970</v>
      </c>
      <c r="C397" s="5" t="s">
        <v>14</v>
      </c>
      <c r="D397" s="6" t="str">
        <f>IFERROR(__xludf.DUMMYFUNCTION("INDEX(IMPORTDATA(""https://raw.githubusercontent.com/lukes/ISO-3166-Countries-with-Regional-Codes/master/all/all.csv""), MATCH(C397, INDEX(IMPORTDATA(""https://raw.githubusercontent.com/lukes/ISO-3166-Countries-with-Regional-Codes/master/all/all.csv""), 0"&amp;", 1), 0), 2)"),"NP")</f>
        <v>NP</v>
      </c>
      <c r="E397" s="5">
        <v>9.745643812E9</v>
      </c>
      <c r="F397" s="5" t="s">
        <v>560</v>
      </c>
      <c r="H397" s="7">
        <v>37542.0</v>
      </c>
      <c r="I397" s="5" t="s">
        <v>156</v>
      </c>
      <c r="J397" s="26" t="s">
        <v>42</v>
      </c>
      <c r="K397" s="27">
        <v>538.0</v>
      </c>
      <c r="L397" s="10" t="s">
        <v>35</v>
      </c>
      <c r="M397" s="6" t="str">
        <f t="shared" si="7"/>
        <v/>
      </c>
    </row>
    <row r="398" ht="22.5" customHeight="1">
      <c r="A398" s="5">
        <f t="shared" si="3"/>
        <v>394</v>
      </c>
      <c r="B398" s="5" t="s">
        <v>971</v>
      </c>
      <c r="C398" s="5" t="s">
        <v>14</v>
      </c>
      <c r="D398" s="6" t="str">
        <f>IFERROR(__xludf.DUMMYFUNCTION("INDEX(IMPORTDATA(""https://raw.githubusercontent.com/lukes/ISO-3166-Countries-with-Regional-Codes/master/all/all.csv""), MATCH(C398, INDEX(IMPORTDATA(""https://raw.githubusercontent.com/lukes/ISO-3166-Countries-with-Regional-Codes/master/all/all.csv""), 0"&amp;", 1), 0), 2)"),"NP")</f>
        <v>NP</v>
      </c>
      <c r="E398" s="5">
        <v>9.84830049E9</v>
      </c>
      <c r="F398" s="5" t="s">
        <v>560</v>
      </c>
      <c r="H398" s="12">
        <v>39332.0</v>
      </c>
      <c r="I398" s="5" t="s">
        <v>156</v>
      </c>
      <c r="J398" s="26" t="s">
        <v>42</v>
      </c>
      <c r="K398" s="27">
        <v>539.0</v>
      </c>
      <c r="L398" s="10" t="s">
        <v>35</v>
      </c>
      <c r="M398" s="6" t="str">
        <f t="shared" si="7"/>
        <v/>
      </c>
    </row>
    <row r="399" ht="22.5" customHeight="1">
      <c r="A399" s="5">
        <f t="shared" si="3"/>
        <v>395</v>
      </c>
      <c r="B399" s="5" t="s">
        <v>972</v>
      </c>
      <c r="C399" s="5" t="s">
        <v>14</v>
      </c>
      <c r="D399" s="6" t="str">
        <f>IFERROR(__xludf.DUMMYFUNCTION("INDEX(IMPORTDATA(""https://raw.githubusercontent.com/lukes/ISO-3166-Countries-with-Regional-Codes/master/all/all.csv""), MATCH(C399, INDEX(IMPORTDATA(""https://raw.githubusercontent.com/lukes/ISO-3166-Countries-with-Regional-Codes/master/all/all.csv""), 0"&amp;", 1), 0), 2)"),"NP")</f>
        <v>NP</v>
      </c>
      <c r="E399" s="5">
        <v>9.84215618E9</v>
      </c>
      <c r="F399" s="5" t="s">
        <v>560</v>
      </c>
      <c r="H399" s="7">
        <v>36266.0</v>
      </c>
      <c r="I399" s="5" t="s">
        <v>156</v>
      </c>
      <c r="J399" s="26" t="s">
        <v>42</v>
      </c>
      <c r="K399" s="27">
        <v>540.0</v>
      </c>
      <c r="L399" s="10" t="s">
        <v>35</v>
      </c>
      <c r="M399" s="6" t="str">
        <f t="shared" si="7"/>
        <v/>
      </c>
    </row>
    <row r="400" ht="22.5" customHeight="1">
      <c r="A400" s="5">
        <f t="shared" si="3"/>
        <v>396</v>
      </c>
      <c r="B400" s="5" t="s">
        <v>973</v>
      </c>
      <c r="C400" s="5" t="s">
        <v>14</v>
      </c>
      <c r="D400" s="6" t="str">
        <f>IFERROR(__xludf.DUMMYFUNCTION("INDEX(IMPORTDATA(""https://raw.githubusercontent.com/lukes/ISO-3166-Countries-with-Regional-Codes/master/all/all.csv""), MATCH(C400, INDEX(IMPORTDATA(""https://raw.githubusercontent.com/lukes/ISO-3166-Countries-with-Regional-Codes/master/all/all.csv""), 0"&amp;", 1), 0), 2)"),"NP")</f>
        <v>NP</v>
      </c>
      <c r="E400" s="5">
        <v>9.868636682E9</v>
      </c>
      <c r="F400" s="5" t="s">
        <v>974</v>
      </c>
      <c r="H400" s="12">
        <v>36934.0</v>
      </c>
      <c r="I400" s="5" t="s">
        <v>156</v>
      </c>
      <c r="J400" s="26" t="s">
        <v>42</v>
      </c>
      <c r="K400" s="27">
        <v>541.0</v>
      </c>
      <c r="L400" s="10" t="s">
        <v>29</v>
      </c>
      <c r="M400" s="6" t="str">
        <f t="shared" si="7"/>
        <v/>
      </c>
    </row>
    <row r="401" ht="22.5" customHeight="1">
      <c r="A401" s="5">
        <f t="shared" si="3"/>
        <v>397</v>
      </c>
      <c r="B401" s="5" t="s">
        <v>975</v>
      </c>
      <c r="C401" s="5" t="s">
        <v>14</v>
      </c>
      <c r="D401" s="6" t="str">
        <f>IFERROR(__xludf.DUMMYFUNCTION("INDEX(IMPORTDATA(""https://raw.githubusercontent.com/lukes/ISO-3166-Countries-with-Regional-Codes/master/all/all.csv""), MATCH(C401, INDEX(IMPORTDATA(""https://raw.githubusercontent.com/lukes/ISO-3166-Countries-with-Regional-Codes/master/all/all.csv""), 0"&amp;", 1), 0), 2)"),"NP")</f>
        <v>NP</v>
      </c>
      <c r="E401" s="5">
        <v>9.851118842E9</v>
      </c>
      <c r="F401" s="5" t="s">
        <v>976</v>
      </c>
      <c r="G401" s="5">
        <v>7040612.0</v>
      </c>
      <c r="H401" s="12">
        <v>35218.0</v>
      </c>
      <c r="I401" s="5" t="s">
        <v>156</v>
      </c>
      <c r="J401" s="26" t="s">
        <v>42</v>
      </c>
      <c r="K401" s="27">
        <v>542.0</v>
      </c>
      <c r="L401" s="10" t="s">
        <v>18</v>
      </c>
      <c r="M401" s="6" t="str">
        <f t="shared" si="7"/>
        <v/>
      </c>
    </row>
    <row r="402" ht="22.5" customHeight="1">
      <c r="A402" s="5">
        <f t="shared" si="3"/>
        <v>398</v>
      </c>
      <c r="B402" s="5" t="s">
        <v>977</v>
      </c>
      <c r="C402" s="5" t="s">
        <v>14</v>
      </c>
      <c r="D402" s="6" t="str">
        <f>IFERROR(__xludf.DUMMYFUNCTION("INDEX(IMPORTDATA(""https://raw.githubusercontent.com/lukes/ISO-3166-Countries-with-Regional-Codes/master/all/all.csv""), MATCH(C402, INDEX(IMPORTDATA(""https://raw.githubusercontent.com/lukes/ISO-3166-Countries-with-Regional-Codes/master/all/all.csv""), 0"&amp;", 1), 0), 2)"),"NP")</f>
        <v>NP</v>
      </c>
      <c r="E402" s="5">
        <v>9.861706619E9</v>
      </c>
      <c r="F402" s="5" t="s">
        <v>978</v>
      </c>
      <c r="G402" s="5">
        <v>6999788.0</v>
      </c>
      <c r="H402" s="7">
        <v>38401.0</v>
      </c>
      <c r="I402" s="5" t="s">
        <v>156</v>
      </c>
      <c r="J402" s="26" t="s">
        <v>42</v>
      </c>
      <c r="K402" s="27">
        <v>543.0</v>
      </c>
      <c r="L402" s="10" t="s">
        <v>18</v>
      </c>
      <c r="M402" s="6" t="str">
        <f t="shared" si="7"/>
        <v/>
      </c>
    </row>
    <row r="403" ht="22.5" customHeight="1">
      <c r="A403" s="5">
        <f t="shared" si="3"/>
        <v>399</v>
      </c>
      <c r="B403" s="5" t="s">
        <v>979</v>
      </c>
      <c r="C403" s="5" t="s">
        <v>14</v>
      </c>
      <c r="D403" s="6" t="str">
        <f>IFERROR(__xludf.DUMMYFUNCTION("INDEX(IMPORTDATA(""https://raw.githubusercontent.com/lukes/ISO-3166-Countries-with-Regional-Codes/master/all/all.csv""), MATCH(C403, INDEX(IMPORTDATA(""https://raw.githubusercontent.com/lukes/ISO-3166-Countries-with-Regional-Codes/master/all/all.csv""), 0"&amp;", 1), 0), 2)"),"NP")</f>
        <v>NP</v>
      </c>
      <c r="E403" s="5">
        <v>9.742407889E9</v>
      </c>
      <c r="F403" s="5" t="s">
        <v>980</v>
      </c>
      <c r="G403" s="5">
        <v>6999688.0</v>
      </c>
      <c r="H403" s="12">
        <v>38967.0</v>
      </c>
      <c r="I403" s="5" t="s">
        <v>156</v>
      </c>
      <c r="J403" s="26" t="s">
        <v>42</v>
      </c>
      <c r="K403" s="27">
        <v>544.0</v>
      </c>
      <c r="L403" s="10" t="s">
        <v>18</v>
      </c>
      <c r="M403" s="6" t="str">
        <f t="shared" si="7"/>
        <v/>
      </c>
    </row>
    <row r="404" ht="22.5" customHeight="1">
      <c r="A404" s="5">
        <f t="shared" si="3"/>
        <v>400</v>
      </c>
      <c r="B404" s="5" t="s">
        <v>981</v>
      </c>
      <c r="C404" s="5" t="s">
        <v>14</v>
      </c>
      <c r="D404" s="6" t="str">
        <f>IFERROR(__xludf.DUMMYFUNCTION("INDEX(IMPORTDATA(""https://raw.githubusercontent.com/lukes/ISO-3166-Countries-with-Regional-Codes/master/all/all.csv""), MATCH(C404, INDEX(IMPORTDATA(""https://raw.githubusercontent.com/lukes/ISO-3166-Countries-with-Regional-Codes/master/all/all.csv""), 0"&amp;", 1), 0), 2)"),"NP")</f>
        <v>NP</v>
      </c>
      <c r="E404" s="5">
        <v>9.84918317E9</v>
      </c>
      <c r="F404" s="5" t="s">
        <v>982</v>
      </c>
      <c r="G404" s="5">
        <v>7120816.0</v>
      </c>
      <c r="H404" s="7">
        <v>32594.0</v>
      </c>
      <c r="I404" s="5" t="s">
        <v>156</v>
      </c>
      <c r="J404" s="26" t="s">
        <v>42</v>
      </c>
      <c r="K404" s="27">
        <v>545.0</v>
      </c>
      <c r="L404" s="10" t="s">
        <v>35</v>
      </c>
      <c r="M404" s="6" t="str">
        <f t="shared" si="7"/>
        <v/>
      </c>
    </row>
    <row r="405" ht="22.5" customHeight="1">
      <c r="A405" s="5">
        <f t="shared" si="3"/>
        <v>401</v>
      </c>
      <c r="B405" s="5" t="s">
        <v>983</v>
      </c>
      <c r="C405" s="5" t="s">
        <v>14</v>
      </c>
      <c r="D405" s="6" t="str">
        <f>IFERROR(__xludf.DUMMYFUNCTION("INDEX(IMPORTDATA(""https://raw.githubusercontent.com/lukes/ISO-3166-Countries-with-Regional-Codes/master/all/all.csv""), MATCH(C405, INDEX(IMPORTDATA(""https://raw.githubusercontent.com/lukes/ISO-3166-Countries-with-Regional-Codes/master/all/all.csv""), 0"&amp;", 1), 0), 2)"),"NP")</f>
        <v>NP</v>
      </c>
      <c r="E405" s="5">
        <v>9.822794687E9</v>
      </c>
      <c r="F405" s="5" t="s">
        <v>984</v>
      </c>
      <c r="H405" s="12">
        <v>33730.0</v>
      </c>
      <c r="I405" s="5" t="s">
        <v>156</v>
      </c>
      <c r="J405" s="26" t="s">
        <v>42</v>
      </c>
      <c r="K405" s="27">
        <v>546.0</v>
      </c>
      <c r="L405" s="10" t="s">
        <v>35</v>
      </c>
      <c r="M405" s="6" t="str">
        <f t="shared" si="7"/>
        <v/>
      </c>
    </row>
    <row r="406" ht="22.5" customHeight="1">
      <c r="A406" s="5">
        <f t="shared" si="3"/>
        <v>402</v>
      </c>
      <c r="B406" s="5" t="s">
        <v>985</v>
      </c>
      <c r="C406" s="5" t="s">
        <v>14</v>
      </c>
      <c r="D406" s="6" t="str">
        <f>IFERROR(__xludf.DUMMYFUNCTION("INDEX(IMPORTDATA(""https://raw.githubusercontent.com/lukes/ISO-3166-Countries-with-Regional-Codes/master/all/all.csv""), MATCH(C406, INDEX(IMPORTDATA(""https://raw.githubusercontent.com/lukes/ISO-3166-Countries-with-Regional-Codes/master/all/all.csv""), 0"&amp;", 1), 0), 2)"),"NP")</f>
        <v>NP</v>
      </c>
      <c r="E406" s="5">
        <v>9.841496701E9</v>
      </c>
      <c r="F406" s="5" t="s">
        <v>986</v>
      </c>
      <c r="H406" s="7">
        <v>34720.0</v>
      </c>
      <c r="I406" s="5" t="s">
        <v>156</v>
      </c>
      <c r="J406" s="26" t="s">
        <v>42</v>
      </c>
      <c r="K406" s="27">
        <v>547.0</v>
      </c>
      <c r="L406" s="10" t="s">
        <v>35</v>
      </c>
      <c r="M406" s="6" t="str">
        <f t="shared" si="7"/>
        <v/>
      </c>
    </row>
    <row r="407" ht="22.5" customHeight="1">
      <c r="A407" s="5">
        <f t="shared" si="3"/>
        <v>403</v>
      </c>
      <c r="B407" s="5" t="s">
        <v>987</v>
      </c>
      <c r="C407" s="5" t="s">
        <v>14</v>
      </c>
      <c r="D407" s="6" t="str">
        <f>IFERROR(__xludf.DUMMYFUNCTION("INDEX(IMPORTDATA(""https://raw.githubusercontent.com/lukes/ISO-3166-Countries-with-Regional-Codes/master/all/all.csv""), MATCH(C407, INDEX(IMPORTDATA(""https://raw.githubusercontent.com/lukes/ISO-3166-Countries-with-Regional-Codes/master/all/all.csv""), 0"&amp;", 1), 0), 2)"),"NP")</f>
        <v>NP</v>
      </c>
      <c r="E407" s="5">
        <v>9.81021694E9</v>
      </c>
      <c r="F407" s="5" t="s">
        <v>988</v>
      </c>
      <c r="H407" s="7">
        <v>35115.0</v>
      </c>
      <c r="I407" s="5" t="s">
        <v>156</v>
      </c>
      <c r="J407" s="26" t="s">
        <v>42</v>
      </c>
      <c r="K407" s="27">
        <v>548.0</v>
      </c>
      <c r="L407" s="10" t="s">
        <v>18</v>
      </c>
      <c r="M407" s="6" t="str">
        <f t="shared" si="7"/>
        <v/>
      </c>
    </row>
    <row r="408" ht="22.5" customHeight="1">
      <c r="A408" s="5">
        <f t="shared" si="3"/>
        <v>404</v>
      </c>
      <c r="B408" s="5" t="s">
        <v>989</v>
      </c>
      <c r="C408" s="5" t="s">
        <v>14</v>
      </c>
      <c r="D408" s="6" t="str">
        <f>IFERROR(__xludf.DUMMYFUNCTION("INDEX(IMPORTDATA(""https://raw.githubusercontent.com/lukes/ISO-3166-Countries-with-Regional-Codes/master/all/all.csv""), MATCH(C408, INDEX(IMPORTDATA(""https://raw.githubusercontent.com/lukes/ISO-3166-Countries-with-Regional-Codes/master/all/all.csv""), 0"&amp;", 1), 0), 2)"),"NP")</f>
        <v>NP</v>
      </c>
      <c r="E408" s="5">
        <v>9.841700302E9</v>
      </c>
      <c r="F408" s="5" t="s">
        <v>990</v>
      </c>
      <c r="H408" s="7">
        <v>38585.0</v>
      </c>
      <c r="I408" s="5" t="s">
        <v>156</v>
      </c>
      <c r="J408" s="26" t="s">
        <v>42</v>
      </c>
      <c r="K408" s="27">
        <v>549.0</v>
      </c>
      <c r="L408" s="10" t="s">
        <v>89</v>
      </c>
      <c r="M408" s="6" t="str">
        <f t="shared" si="7"/>
        <v/>
      </c>
    </row>
    <row r="409" ht="22.5" customHeight="1">
      <c r="A409" s="5">
        <f t="shared" si="3"/>
        <v>405</v>
      </c>
      <c r="B409" s="5" t="s">
        <v>991</v>
      </c>
      <c r="C409" s="5" t="s">
        <v>14</v>
      </c>
      <c r="D409" s="6" t="str">
        <f>IFERROR(__xludf.DUMMYFUNCTION("INDEX(IMPORTDATA(""https://raw.githubusercontent.com/lukes/ISO-3166-Countries-with-Regional-Codes/master/all/all.csv""), MATCH(C409, INDEX(IMPORTDATA(""https://raw.githubusercontent.com/lukes/ISO-3166-Countries-with-Regional-Codes/master/all/all.csv""), 0"&amp;", 1), 0), 2)"),"NP")</f>
        <v>NP</v>
      </c>
      <c r="E409" s="5" t="s">
        <v>992</v>
      </c>
      <c r="F409" s="5" t="s">
        <v>993</v>
      </c>
      <c r="H409" s="12">
        <v>36865.0</v>
      </c>
      <c r="I409" s="5" t="s">
        <v>156</v>
      </c>
      <c r="J409" s="26" t="s">
        <v>42</v>
      </c>
      <c r="K409" s="27">
        <v>550.0</v>
      </c>
      <c r="L409" s="10" t="s">
        <v>35</v>
      </c>
      <c r="M409" s="6" t="str">
        <f t="shared" si="7"/>
        <v/>
      </c>
    </row>
    <row r="410" ht="22.5" customHeight="1">
      <c r="A410" s="5">
        <f t="shared" si="3"/>
        <v>406</v>
      </c>
      <c r="B410" s="5" t="s">
        <v>994</v>
      </c>
      <c r="C410" s="5" t="s">
        <v>14</v>
      </c>
      <c r="D410" s="6" t="str">
        <f>IFERROR(__xludf.DUMMYFUNCTION("INDEX(IMPORTDATA(""https://raw.githubusercontent.com/lukes/ISO-3166-Countries-with-Regional-Codes/master/all/all.csv""), MATCH(C410, INDEX(IMPORTDATA(""https://raw.githubusercontent.com/lukes/ISO-3166-Countries-with-Regional-Codes/master/all/all.csv""), 0"&amp;", 1), 0), 2)"),"NP")</f>
        <v>NP</v>
      </c>
      <c r="E410" s="5" t="s">
        <v>995</v>
      </c>
      <c r="F410" s="5" t="s">
        <v>996</v>
      </c>
      <c r="H410" s="7">
        <v>39385.0</v>
      </c>
      <c r="I410" s="5" t="s">
        <v>156</v>
      </c>
      <c r="J410" s="26" t="s">
        <v>42</v>
      </c>
      <c r="K410" s="27">
        <v>551.0</v>
      </c>
      <c r="L410" s="10" t="s">
        <v>18</v>
      </c>
      <c r="M410" s="6" t="str">
        <f t="shared" si="7"/>
        <v/>
      </c>
    </row>
    <row r="411" ht="22.5" customHeight="1">
      <c r="A411" s="5">
        <f t="shared" si="3"/>
        <v>407</v>
      </c>
      <c r="B411" s="5" t="s">
        <v>997</v>
      </c>
      <c r="C411" s="5" t="s">
        <v>14</v>
      </c>
      <c r="D411" s="6" t="str">
        <f>IFERROR(__xludf.DUMMYFUNCTION("INDEX(IMPORTDATA(""https://raw.githubusercontent.com/lukes/ISO-3166-Countries-with-Regional-Codes/master/all/all.csv""), MATCH(C411, INDEX(IMPORTDATA(""https://raw.githubusercontent.com/lukes/ISO-3166-Countries-with-Regional-Codes/master/all/all.csv""), 0"&amp;", 1), 0), 2)"),"NP")</f>
        <v>NP</v>
      </c>
      <c r="E411" s="5">
        <v>9.762364068E9</v>
      </c>
      <c r="F411" s="5" t="s">
        <v>998</v>
      </c>
      <c r="H411" s="12">
        <v>37749.0</v>
      </c>
      <c r="I411" s="5" t="s">
        <v>156</v>
      </c>
      <c r="J411" s="26" t="s">
        <v>42</v>
      </c>
      <c r="K411" s="27">
        <v>552.0</v>
      </c>
      <c r="L411" s="10" t="s">
        <v>18</v>
      </c>
      <c r="M411" s="6" t="str">
        <f t="shared" si="7"/>
        <v/>
      </c>
    </row>
    <row r="412" ht="22.5" customHeight="1">
      <c r="A412" s="5">
        <f t="shared" si="3"/>
        <v>408</v>
      </c>
      <c r="B412" s="5" t="s">
        <v>999</v>
      </c>
      <c r="C412" s="5" t="s">
        <v>14</v>
      </c>
      <c r="D412" s="6" t="str">
        <f>IFERROR(__xludf.DUMMYFUNCTION("INDEX(IMPORTDATA(""https://raw.githubusercontent.com/lukes/ISO-3166-Countries-with-Regional-Codes/master/all/all.csv""), MATCH(C412, INDEX(IMPORTDATA(""https://raw.githubusercontent.com/lukes/ISO-3166-Countries-with-Regional-Codes/master/all/all.csv""), 0"&amp;", 1), 0), 2)"),"NP")</f>
        <v>NP</v>
      </c>
      <c r="E412" s="5">
        <v>9.804257789E9</v>
      </c>
      <c r="F412" s="5" t="s">
        <v>1000</v>
      </c>
      <c r="G412" s="5">
        <v>6930381.0</v>
      </c>
      <c r="H412" s="7">
        <v>34785.0</v>
      </c>
      <c r="I412" s="5" t="s">
        <v>156</v>
      </c>
      <c r="J412" s="26" t="s">
        <v>42</v>
      </c>
      <c r="K412" s="27">
        <v>553.0</v>
      </c>
      <c r="L412" s="10" t="s">
        <v>35</v>
      </c>
      <c r="M412" s="6" t="str">
        <f t="shared" si="7"/>
        <v/>
      </c>
    </row>
    <row r="413" ht="22.5" customHeight="1">
      <c r="A413" s="5">
        <f t="shared" si="3"/>
        <v>409</v>
      </c>
      <c r="B413" s="5" t="s">
        <v>1001</v>
      </c>
      <c r="C413" s="5" t="s">
        <v>14</v>
      </c>
      <c r="D413" s="6" t="str">
        <f>IFERROR(__xludf.DUMMYFUNCTION("INDEX(IMPORTDATA(""https://raw.githubusercontent.com/lukes/ISO-3166-Countries-with-Regional-Codes/master/all/all.csv""), MATCH(C413, INDEX(IMPORTDATA(""https://raw.githubusercontent.com/lukes/ISO-3166-Countries-with-Regional-Codes/master/all/all.csv""), 0"&amp;", 1), 0), 2)"),"NP")</f>
        <v>NP</v>
      </c>
      <c r="E413" s="5">
        <v>9.81334983E8</v>
      </c>
      <c r="F413" s="5" t="s">
        <v>1002</v>
      </c>
      <c r="H413" s="12">
        <v>36567.0</v>
      </c>
      <c r="I413" s="5" t="s">
        <v>156</v>
      </c>
      <c r="J413" s="26" t="s">
        <v>42</v>
      </c>
      <c r="K413" s="27">
        <v>554.0</v>
      </c>
      <c r="L413" s="10" t="s">
        <v>89</v>
      </c>
      <c r="M413" s="6" t="str">
        <f t="shared" si="7"/>
        <v/>
      </c>
    </row>
    <row r="414" ht="22.5" customHeight="1">
      <c r="A414" s="5">
        <f t="shared" si="3"/>
        <v>410</v>
      </c>
      <c r="B414" s="5" t="s">
        <v>1003</v>
      </c>
      <c r="C414" s="5" t="s">
        <v>14</v>
      </c>
      <c r="D414" s="6" t="str">
        <f>IFERROR(__xludf.DUMMYFUNCTION("INDEX(IMPORTDATA(""https://raw.githubusercontent.com/lukes/ISO-3166-Countries-with-Regional-Codes/master/all/all.csv""), MATCH(C414, INDEX(IMPORTDATA(""https://raw.githubusercontent.com/lukes/ISO-3166-Countries-with-Regional-Codes/master/all/all.csv""), 0"&amp;", 1), 0), 2)"),"NP")</f>
        <v>NP</v>
      </c>
      <c r="E414" s="5">
        <v>9.851125922E9</v>
      </c>
      <c r="F414" s="5" t="s">
        <v>1004</v>
      </c>
      <c r="G414" s="5">
        <v>5072074.0</v>
      </c>
      <c r="H414" s="7">
        <v>28808.0</v>
      </c>
      <c r="I414" s="5" t="s">
        <v>156</v>
      </c>
      <c r="J414" s="26" t="s">
        <v>42</v>
      </c>
      <c r="K414" s="27">
        <v>555.0</v>
      </c>
      <c r="L414" s="10" t="s">
        <v>35</v>
      </c>
      <c r="M414" s="6" t="str">
        <f t="shared" si="7"/>
        <v/>
      </c>
    </row>
    <row r="415" ht="22.5" customHeight="1">
      <c r="A415" s="5">
        <f t="shared" si="3"/>
        <v>411</v>
      </c>
      <c r="B415" s="5" t="s">
        <v>1005</v>
      </c>
      <c r="C415" s="5" t="s">
        <v>14</v>
      </c>
      <c r="D415" s="6" t="str">
        <f>IFERROR(__xludf.DUMMYFUNCTION("INDEX(IMPORTDATA(""https://raw.githubusercontent.com/lukes/ISO-3166-Countries-with-Regional-Codes/master/all/all.csv""), MATCH(C415, INDEX(IMPORTDATA(""https://raw.githubusercontent.com/lukes/ISO-3166-Countries-with-Regional-Codes/master/all/all.csv""), 0"&amp;", 1), 0), 2)"),"NP")</f>
        <v>NP</v>
      </c>
      <c r="E415" s="5">
        <v>9.762364068E9</v>
      </c>
      <c r="F415" s="5" t="s">
        <v>1006</v>
      </c>
      <c r="G415" s="5">
        <v>6079079.0</v>
      </c>
      <c r="H415" s="7">
        <v>38012.0</v>
      </c>
      <c r="I415" s="5" t="s">
        <v>156</v>
      </c>
      <c r="J415" s="26" t="s">
        <v>42</v>
      </c>
      <c r="K415" s="27">
        <v>556.0</v>
      </c>
      <c r="L415" s="10" t="s">
        <v>18</v>
      </c>
      <c r="M415" s="6" t="str">
        <f t="shared" si="7"/>
        <v/>
      </c>
    </row>
    <row r="416" ht="22.5" customHeight="1">
      <c r="A416" s="5">
        <f t="shared" si="3"/>
        <v>412</v>
      </c>
      <c r="B416" s="5" t="s">
        <v>1007</v>
      </c>
      <c r="C416" s="5" t="s">
        <v>14</v>
      </c>
      <c r="D416" s="6" t="str">
        <f>IFERROR(__xludf.DUMMYFUNCTION("INDEX(IMPORTDATA(""https://raw.githubusercontent.com/lukes/ISO-3166-Countries-with-Regional-Codes/master/all/all.csv""), MATCH(C416, INDEX(IMPORTDATA(""https://raw.githubusercontent.com/lukes/ISO-3166-Countries-with-Regional-Codes/master/all/all.csv""), 0"&amp;", 1), 0), 2)"),"NP")</f>
        <v>NP</v>
      </c>
      <c r="E416" s="5" t="s">
        <v>1008</v>
      </c>
      <c r="F416" s="5" t="s">
        <v>1009</v>
      </c>
      <c r="G416" s="5">
        <v>4807930.0</v>
      </c>
      <c r="H416" s="7">
        <v>33709.0</v>
      </c>
      <c r="I416" s="5" t="s">
        <v>156</v>
      </c>
      <c r="J416" s="26" t="s">
        <v>42</v>
      </c>
      <c r="K416" s="27">
        <v>557.0</v>
      </c>
      <c r="L416" s="10" t="s">
        <v>35</v>
      </c>
      <c r="M416" s="6" t="str">
        <f t="shared" si="7"/>
        <v/>
      </c>
    </row>
    <row r="417" ht="22.5" customHeight="1">
      <c r="A417" s="5">
        <f t="shared" si="3"/>
        <v>413</v>
      </c>
      <c r="B417" s="5" t="s">
        <v>1010</v>
      </c>
      <c r="C417" s="5" t="s">
        <v>14</v>
      </c>
      <c r="D417" s="6" t="str">
        <f>IFERROR(__xludf.DUMMYFUNCTION("INDEX(IMPORTDATA(""https://raw.githubusercontent.com/lukes/ISO-3166-Countries-with-Regional-Codes/master/all/all.csv""), MATCH(C417, INDEX(IMPORTDATA(""https://raw.githubusercontent.com/lukes/ISO-3166-Countries-with-Regional-Codes/master/all/all.csv""), 0"&amp;", 1), 0), 2)"),"NP")</f>
        <v>NP</v>
      </c>
      <c r="E417" s="5">
        <v>9.841413179E9</v>
      </c>
      <c r="F417" s="5" t="s">
        <v>1011</v>
      </c>
      <c r="G417" s="5">
        <v>5091902.0</v>
      </c>
      <c r="H417" s="12">
        <v>36131.0</v>
      </c>
      <c r="I417" s="5" t="s">
        <v>156</v>
      </c>
      <c r="J417" s="26" t="s">
        <v>42</v>
      </c>
      <c r="K417" s="27">
        <v>558.0</v>
      </c>
      <c r="L417" s="10" t="s">
        <v>89</v>
      </c>
      <c r="M417" s="6" t="str">
        <f t="shared" si="7"/>
        <v/>
      </c>
    </row>
    <row r="418" ht="22.5" customHeight="1">
      <c r="A418" s="5">
        <f t="shared" si="3"/>
        <v>414</v>
      </c>
      <c r="B418" s="5" t="s">
        <v>1012</v>
      </c>
      <c r="C418" s="5" t="s">
        <v>14</v>
      </c>
      <c r="D418" s="6" t="str">
        <f>IFERROR(__xludf.DUMMYFUNCTION("INDEX(IMPORTDATA(""https://raw.githubusercontent.com/lukes/ISO-3166-Countries-with-Regional-Codes/master/all/all.csv""), MATCH(C418, INDEX(IMPORTDATA(""https://raw.githubusercontent.com/lukes/ISO-3166-Countries-with-Regional-Codes/master/all/all.csv""), 0"&amp;", 1), 0), 2)"),"NP")</f>
        <v>NP</v>
      </c>
      <c r="E418" s="5" t="s">
        <v>1013</v>
      </c>
      <c r="F418" s="5" t="s">
        <v>1014</v>
      </c>
      <c r="H418" s="12">
        <v>40275.0</v>
      </c>
      <c r="I418" s="5" t="s">
        <v>156</v>
      </c>
      <c r="J418" s="26" t="s">
        <v>42</v>
      </c>
      <c r="K418" s="27">
        <v>559.0</v>
      </c>
      <c r="L418" s="10" t="s">
        <v>18</v>
      </c>
      <c r="M418" s="6" t="str">
        <f t="shared" si="7"/>
        <v/>
      </c>
    </row>
    <row r="419" ht="22.5" customHeight="1">
      <c r="A419" s="5">
        <f t="shared" si="3"/>
        <v>415</v>
      </c>
      <c r="B419" s="5" t="s">
        <v>1015</v>
      </c>
      <c r="C419" s="5" t="s">
        <v>14</v>
      </c>
      <c r="D419" s="6" t="str">
        <f>IFERROR(__xludf.DUMMYFUNCTION("INDEX(IMPORTDATA(""https://raw.githubusercontent.com/lukes/ISO-3166-Countries-with-Regional-Codes/master/all/all.csv""), MATCH(C419, INDEX(IMPORTDATA(""https://raw.githubusercontent.com/lukes/ISO-3166-Countries-with-Regional-Codes/master/all/all.csv""), 0"&amp;", 1), 0), 2)"),"NP")</f>
        <v>NP</v>
      </c>
      <c r="E419" s="5" t="s">
        <v>1013</v>
      </c>
      <c r="F419" s="5" t="s">
        <v>1014</v>
      </c>
      <c r="H419" s="12">
        <v>40275.0</v>
      </c>
      <c r="I419" s="5" t="s">
        <v>156</v>
      </c>
      <c r="J419" s="26" t="s">
        <v>42</v>
      </c>
      <c r="K419" s="27">
        <v>560.0</v>
      </c>
      <c r="L419" s="10" t="s">
        <v>18</v>
      </c>
      <c r="M419" s="6" t="str">
        <f t="shared" si="7"/>
        <v/>
      </c>
    </row>
    <row r="420" ht="22.5" customHeight="1">
      <c r="A420" s="5">
        <f t="shared" si="3"/>
        <v>416</v>
      </c>
      <c r="B420" s="5" t="s">
        <v>1016</v>
      </c>
      <c r="C420" s="5" t="s">
        <v>14</v>
      </c>
      <c r="D420" s="6" t="str">
        <f>IFERROR(__xludf.DUMMYFUNCTION("INDEX(IMPORTDATA(""https://raw.githubusercontent.com/lukes/ISO-3166-Countries-with-Regional-Codes/master/all/all.csv""), MATCH(C420, INDEX(IMPORTDATA(""https://raw.githubusercontent.com/lukes/ISO-3166-Countries-with-Regional-Codes/master/all/all.csv""), 0"&amp;", 1), 0), 2)"),"NP")</f>
        <v>NP</v>
      </c>
      <c r="E420" s="5">
        <v>9.823695196E9</v>
      </c>
      <c r="F420" s="5" t="s">
        <v>1017</v>
      </c>
      <c r="H420" s="7">
        <v>24280.0</v>
      </c>
      <c r="I420" s="5" t="s">
        <v>156</v>
      </c>
      <c r="J420" s="26" t="s">
        <v>42</v>
      </c>
      <c r="K420" s="27">
        <v>561.0</v>
      </c>
      <c r="L420" s="10" t="s">
        <v>18</v>
      </c>
      <c r="M420" s="6" t="str">
        <f t="shared" si="7"/>
        <v/>
      </c>
    </row>
    <row r="421" ht="22.5" customHeight="1">
      <c r="A421" s="5">
        <f t="shared" si="3"/>
        <v>417</v>
      </c>
      <c r="B421" s="5" t="s">
        <v>1018</v>
      </c>
      <c r="C421" s="5" t="s">
        <v>14</v>
      </c>
      <c r="D421" s="6" t="str">
        <f>IFERROR(__xludf.DUMMYFUNCTION("INDEX(IMPORTDATA(""https://raw.githubusercontent.com/lukes/ISO-3166-Countries-with-Regional-Codes/master/all/all.csv""), MATCH(C421, INDEX(IMPORTDATA(""https://raw.githubusercontent.com/lukes/ISO-3166-Countries-with-Regional-Codes/master/all/all.csv""), 0"&amp;", 1), 0), 2)"),"NP")</f>
        <v>NP</v>
      </c>
      <c r="E421" s="5" t="s">
        <v>1019</v>
      </c>
      <c r="F421" s="5" t="s">
        <v>1020</v>
      </c>
      <c r="H421" s="12">
        <v>39904.0</v>
      </c>
      <c r="I421" s="5" t="s">
        <v>156</v>
      </c>
      <c r="J421" s="26" t="s">
        <v>42</v>
      </c>
      <c r="K421" s="27">
        <v>562.0</v>
      </c>
      <c r="L421" s="10" t="s">
        <v>18</v>
      </c>
      <c r="M421" s="6" t="str">
        <f t="shared" si="7"/>
        <v/>
      </c>
    </row>
    <row r="422" ht="22.5" customHeight="1">
      <c r="A422" s="5">
        <f t="shared" si="3"/>
        <v>418</v>
      </c>
      <c r="B422" s="5" t="s">
        <v>1021</v>
      </c>
      <c r="C422" s="5" t="s">
        <v>14</v>
      </c>
      <c r="D422" s="6" t="str">
        <f>IFERROR(__xludf.DUMMYFUNCTION("INDEX(IMPORTDATA(""https://raw.githubusercontent.com/lukes/ISO-3166-Countries-with-Regional-Codes/master/all/all.csv""), MATCH(C422, INDEX(IMPORTDATA(""https://raw.githubusercontent.com/lukes/ISO-3166-Countries-with-Regional-Codes/master/all/all.csv""), 0"&amp;", 1), 0), 2)"),"NP")</f>
        <v>NP</v>
      </c>
      <c r="E422" s="5" t="s">
        <v>1022</v>
      </c>
      <c r="F422" s="5" t="s">
        <v>1023</v>
      </c>
      <c r="H422" s="7">
        <v>30089.0</v>
      </c>
      <c r="I422" s="5" t="s">
        <v>156</v>
      </c>
      <c r="J422" s="26" t="s">
        <v>42</v>
      </c>
      <c r="K422" s="27">
        <v>563.0</v>
      </c>
      <c r="L422" s="10" t="s">
        <v>35</v>
      </c>
      <c r="M422" s="6" t="str">
        <f t="shared" si="7"/>
        <v/>
      </c>
    </row>
    <row r="423" ht="22.5" customHeight="1">
      <c r="A423" s="5">
        <f t="shared" si="3"/>
        <v>419</v>
      </c>
      <c r="B423" s="5" t="s">
        <v>1024</v>
      </c>
      <c r="C423" s="5" t="s">
        <v>14</v>
      </c>
      <c r="D423" s="6" t="str">
        <f>IFERROR(__xludf.DUMMYFUNCTION("INDEX(IMPORTDATA(""https://raw.githubusercontent.com/lukes/ISO-3166-Countries-with-Regional-Codes/master/all/all.csv""), MATCH(C423, INDEX(IMPORTDATA(""https://raw.githubusercontent.com/lukes/ISO-3166-Countries-with-Regional-Codes/master/all/all.csv""), 0"&amp;", 1), 0), 2)"),"NP")</f>
        <v>NP</v>
      </c>
      <c r="E423" s="5">
        <v>9.86913322E9</v>
      </c>
      <c r="F423" s="5" t="s">
        <v>1025</v>
      </c>
      <c r="H423" s="7">
        <v>38457.0</v>
      </c>
      <c r="I423" s="5" t="s">
        <v>156</v>
      </c>
      <c r="J423" s="26" t="s">
        <v>42</v>
      </c>
      <c r="K423" s="27">
        <v>564.0</v>
      </c>
      <c r="L423" s="10" t="s">
        <v>18</v>
      </c>
      <c r="M423" s="6" t="str">
        <f t="shared" si="7"/>
        <v/>
      </c>
    </row>
    <row r="424" ht="22.5" customHeight="1">
      <c r="A424" s="5">
        <f t="shared" si="3"/>
        <v>420</v>
      </c>
      <c r="B424" s="5" t="s">
        <v>1026</v>
      </c>
      <c r="C424" s="5" t="s">
        <v>14</v>
      </c>
      <c r="D424" s="6" t="str">
        <f>IFERROR(__xludf.DUMMYFUNCTION("INDEX(IMPORTDATA(""https://raw.githubusercontent.com/lukes/ISO-3166-Countries-with-Regional-Codes/master/all/all.csv""), MATCH(C424, INDEX(IMPORTDATA(""https://raw.githubusercontent.com/lukes/ISO-3166-Countries-with-Regional-Codes/master/all/all.csv""), 0"&amp;", 1), 0), 2)"),"NP")</f>
        <v>NP</v>
      </c>
      <c r="E424" s="5" t="s">
        <v>1027</v>
      </c>
      <c r="F424" s="5" t="s">
        <v>1028</v>
      </c>
      <c r="H424" s="7">
        <v>34546.0</v>
      </c>
      <c r="I424" s="5" t="s">
        <v>156</v>
      </c>
      <c r="J424" s="26" t="s">
        <v>42</v>
      </c>
      <c r="K424" s="27">
        <v>565.0</v>
      </c>
      <c r="L424" s="10" t="s">
        <v>18</v>
      </c>
      <c r="M424" s="6" t="str">
        <f t="shared" si="7"/>
        <v/>
      </c>
    </row>
    <row r="425" ht="22.5" customHeight="1">
      <c r="A425" s="5">
        <f t="shared" si="3"/>
        <v>421</v>
      </c>
      <c r="B425" s="5" t="s">
        <v>1029</v>
      </c>
      <c r="C425" s="5" t="s">
        <v>14</v>
      </c>
      <c r="D425" s="6" t="str">
        <f>IFERROR(__xludf.DUMMYFUNCTION("INDEX(IMPORTDATA(""https://raw.githubusercontent.com/lukes/ISO-3166-Countries-with-Regional-Codes/master/all/all.csv""), MATCH(C425, INDEX(IMPORTDATA(""https://raw.githubusercontent.com/lukes/ISO-3166-Countries-with-Regional-Codes/master/all/all.csv""), 0"&amp;", 1), 0), 2)"),"NP")</f>
        <v>NP</v>
      </c>
      <c r="E425" s="5" t="s">
        <v>1030</v>
      </c>
      <c r="F425" s="5" t="s">
        <v>1031</v>
      </c>
      <c r="H425" s="7">
        <v>30832.0</v>
      </c>
      <c r="I425" s="5" t="s">
        <v>156</v>
      </c>
      <c r="J425" s="26" t="s">
        <v>42</v>
      </c>
      <c r="K425" s="27">
        <v>566.0</v>
      </c>
      <c r="L425" s="10" t="s">
        <v>18</v>
      </c>
      <c r="M425" s="6" t="str">
        <f t="shared" si="7"/>
        <v/>
      </c>
    </row>
    <row r="426" ht="22.5" customHeight="1">
      <c r="A426" s="5">
        <f t="shared" si="3"/>
        <v>422</v>
      </c>
      <c r="B426" s="5" t="s">
        <v>1032</v>
      </c>
      <c r="C426" s="5" t="s">
        <v>14</v>
      </c>
      <c r="D426" s="6" t="str">
        <f>IFERROR(__xludf.DUMMYFUNCTION("INDEX(IMPORTDATA(""https://raw.githubusercontent.com/lukes/ISO-3166-Countries-with-Regional-Codes/master/all/all.csv""), MATCH(C426, INDEX(IMPORTDATA(""https://raw.githubusercontent.com/lukes/ISO-3166-Countries-with-Regional-Codes/master/all/all.csv""), 0"&amp;", 1), 0), 2)"),"NP")</f>
        <v>NP</v>
      </c>
      <c r="E426" s="5" t="s">
        <v>1019</v>
      </c>
      <c r="F426" s="5" t="s">
        <v>1020</v>
      </c>
      <c r="H426" s="7">
        <v>34000.0</v>
      </c>
      <c r="I426" s="5" t="s">
        <v>156</v>
      </c>
      <c r="J426" s="26" t="s">
        <v>42</v>
      </c>
      <c r="K426" s="27">
        <v>567.0</v>
      </c>
      <c r="L426" s="10" t="s">
        <v>18</v>
      </c>
      <c r="M426" s="6" t="str">
        <f t="shared" si="7"/>
        <v/>
      </c>
    </row>
    <row r="427" ht="22.5" customHeight="1">
      <c r="A427" s="5">
        <f t="shared" si="3"/>
        <v>423</v>
      </c>
      <c r="B427" s="5" t="s">
        <v>1033</v>
      </c>
      <c r="C427" s="5" t="s">
        <v>14</v>
      </c>
      <c r="D427" s="6" t="str">
        <f>IFERROR(__xludf.DUMMYFUNCTION("INDEX(IMPORTDATA(""https://raw.githubusercontent.com/lukes/ISO-3166-Countries-with-Regional-Codes/master/all/all.csv""), MATCH(C427, INDEX(IMPORTDATA(""https://raw.githubusercontent.com/lukes/ISO-3166-Countries-with-Regional-Codes/master/all/all.csv""), 0"&amp;", 1), 0), 2)"),"NP")</f>
        <v>NP</v>
      </c>
      <c r="E427" s="5">
        <v>9.82495481E9</v>
      </c>
      <c r="F427" s="5" t="s">
        <v>1034</v>
      </c>
      <c r="H427" s="7">
        <v>37635.0</v>
      </c>
      <c r="I427" s="5" t="s">
        <v>156</v>
      </c>
      <c r="J427" s="26" t="s">
        <v>42</v>
      </c>
      <c r="K427" s="27">
        <v>568.0</v>
      </c>
      <c r="L427" s="10" t="s">
        <v>18</v>
      </c>
      <c r="M427" s="6" t="str">
        <f t="shared" si="7"/>
        <v/>
      </c>
    </row>
    <row r="428" ht="22.5" customHeight="1">
      <c r="A428" s="5">
        <f t="shared" si="3"/>
        <v>424</v>
      </c>
      <c r="B428" s="5" t="s">
        <v>1035</v>
      </c>
      <c r="C428" s="5" t="s">
        <v>14</v>
      </c>
      <c r="D428" s="6" t="str">
        <f>IFERROR(__xludf.DUMMYFUNCTION("INDEX(IMPORTDATA(""https://raw.githubusercontent.com/lukes/ISO-3166-Countries-with-Regional-Codes/master/all/all.csv""), MATCH(C428, INDEX(IMPORTDATA(""https://raw.githubusercontent.com/lukes/ISO-3166-Countries-with-Regional-Codes/master/all/all.csv""), 0"&amp;", 1), 0), 2)"),"NP")</f>
        <v>NP</v>
      </c>
      <c r="E428" s="5">
        <v>9.86032347E9</v>
      </c>
      <c r="F428" s="5" t="s">
        <v>1036</v>
      </c>
      <c r="G428" s="5">
        <v>7167725.0</v>
      </c>
      <c r="H428" s="7">
        <v>37786.0</v>
      </c>
      <c r="I428" s="5" t="s">
        <v>156</v>
      </c>
      <c r="J428" s="26" t="s">
        <v>42</v>
      </c>
      <c r="K428" s="27">
        <v>569.0</v>
      </c>
      <c r="L428" s="10" t="s">
        <v>89</v>
      </c>
      <c r="M428" s="6" t="str">
        <f t="shared" si="7"/>
        <v/>
      </c>
    </row>
    <row r="429" ht="22.5" customHeight="1">
      <c r="A429" s="5">
        <f t="shared" si="3"/>
        <v>425</v>
      </c>
      <c r="B429" s="5" t="s">
        <v>1037</v>
      </c>
      <c r="C429" s="5" t="s">
        <v>14</v>
      </c>
      <c r="D429" s="6" t="str">
        <f>IFERROR(__xludf.DUMMYFUNCTION("INDEX(IMPORTDATA(""https://raw.githubusercontent.com/lukes/ISO-3166-Countries-with-Regional-Codes/master/all/all.csv""), MATCH(C429, INDEX(IMPORTDATA(""https://raw.githubusercontent.com/lukes/ISO-3166-Countries-with-Regional-Codes/master/all/all.csv""), 0"&amp;", 1), 0), 2)"),"NP")</f>
        <v>NP</v>
      </c>
      <c r="E429" s="5">
        <v>9.843450074E9</v>
      </c>
      <c r="F429" s="5" t="s">
        <v>1038</v>
      </c>
      <c r="H429" s="7">
        <v>35990.0</v>
      </c>
      <c r="I429" s="5" t="s">
        <v>156</v>
      </c>
      <c r="J429" s="26" t="s">
        <v>42</v>
      </c>
      <c r="K429" s="27">
        <v>570.0</v>
      </c>
      <c r="L429" s="10" t="s">
        <v>35</v>
      </c>
      <c r="M429" s="6" t="str">
        <f t="shared" si="7"/>
        <v/>
      </c>
    </row>
    <row r="430" ht="22.5" customHeight="1">
      <c r="A430" s="5">
        <f t="shared" si="3"/>
        <v>426</v>
      </c>
      <c r="B430" s="5" t="s">
        <v>1039</v>
      </c>
      <c r="C430" s="5" t="s">
        <v>14</v>
      </c>
      <c r="D430" s="6" t="str">
        <f>IFERROR(__xludf.DUMMYFUNCTION("INDEX(IMPORTDATA(""https://raw.githubusercontent.com/lukes/ISO-3166-Countries-with-Regional-Codes/master/all/all.csv""), MATCH(C430, INDEX(IMPORTDATA(""https://raw.githubusercontent.com/lukes/ISO-3166-Countries-with-Regional-Codes/master/all/all.csv""), 0"&amp;", 1), 0), 2)"),"NP")</f>
        <v>NP</v>
      </c>
      <c r="E430" s="5">
        <v>9.841376975E9</v>
      </c>
      <c r="F430" s="5" t="s">
        <v>1040</v>
      </c>
      <c r="G430" s="5">
        <v>6992459.0</v>
      </c>
      <c r="H430" s="12">
        <v>34130.0</v>
      </c>
      <c r="I430" s="5" t="s">
        <v>156</v>
      </c>
      <c r="J430" s="26" t="s">
        <v>42</v>
      </c>
      <c r="K430" s="27">
        <v>571.0</v>
      </c>
      <c r="L430" s="10" t="s">
        <v>18</v>
      </c>
      <c r="M430" s="6" t="str">
        <f t="shared" si="7"/>
        <v/>
      </c>
    </row>
    <row r="431" ht="22.5" customHeight="1">
      <c r="A431" s="5">
        <f t="shared" si="3"/>
        <v>427</v>
      </c>
      <c r="B431" s="5" t="s">
        <v>1041</v>
      </c>
      <c r="C431" s="5" t="s">
        <v>14</v>
      </c>
      <c r="D431" s="6" t="str">
        <f>IFERROR(__xludf.DUMMYFUNCTION("INDEX(IMPORTDATA(""https://raw.githubusercontent.com/lukes/ISO-3166-Countries-with-Regional-Codes/master/all/all.csv""), MATCH(C431, INDEX(IMPORTDATA(""https://raw.githubusercontent.com/lukes/ISO-3166-Countries-with-Regional-Codes/master/all/all.csv""), 0"&amp;", 1), 0), 2)"),"NP")</f>
        <v>NP</v>
      </c>
      <c r="E431" s="5" t="s">
        <v>1042</v>
      </c>
      <c r="F431" s="5" t="s">
        <v>1043</v>
      </c>
      <c r="G431" s="5">
        <v>6336589.0</v>
      </c>
      <c r="H431" s="7">
        <v>30126.0</v>
      </c>
      <c r="I431" s="5" t="s">
        <v>156</v>
      </c>
      <c r="J431" s="26" t="s">
        <v>42</v>
      </c>
      <c r="K431" s="27">
        <v>572.0</v>
      </c>
      <c r="L431" s="10" t="s">
        <v>35</v>
      </c>
      <c r="M431" s="6" t="str">
        <f t="shared" si="7"/>
        <v/>
      </c>
    </row>
    <row r="432" ht="22.5" customHeight="1">
      <c r="A432" s="5">
        <f t="shared" si="3"/>
        <v>428</v>
      </c>
      <c r="B432" s="5" t="s">
        <v>1044</v>
      </c>
      <c r="C432" s="5" t="s">
        <v>14</v>
      </c>
      <c r="D432" s="6" t="str">
        <f>IFERROR(__xludf.DUMMYFUNCTION("INDEX(IMPORTDATA(""https://raw.githubusercontent.com/lukes/ISO-3166-Countries-with-Regional-Codes/master/all/all.csv""), MATCH(C432, INDEX(IMPORTDATA(""https://raw.githubusercontent.com/lukes/ISO-3166-Countries-with-Regional-Codes/master/all/all.csv""), 0"&amp;", 1), 0), 2)"),"NP")</f>
        <v>NP</v>
      </c>
      <c r="E432" s="5" t="s">
        <v>1045</v>
      </c>
      <c r="F432" s="5" t="s">
        <v>1046</v>
      </c>
      <c r="H432" s="7">
        <v>36210.0</v>
      </c>
      <c r="I432" s="5" t="s">
        <v>156</v>
      </c>
      <c r="J432" s="26" t="s">
        <v>42</v>
      </c>
      <c r="K432" s="27">
        <v>573.0</v>
      </c>
      <c r="L432" s="10" t="s">
        <v>18</v>
      </c>
      <c r="M432" s="6" t="str">
        <f t="shared" si="7"/>
        <v/>
      </c>
    </row>
    <row r="433" ht="22.5" customHeight="1">
      <c r="A433" s="5">
        <f t="shared" si="3"/>
        <v>429</v>
      </c>
      <c r="B433" s="5" t="s">
        <v>1047</v>
      </c>
      <c r="C433" s="5" t="s">
        <v>14</v>
      </c>
      <c r="D433" s="6" t="str">
        <f>IFERROR(__xludf.DUMMYFUNCTION("INDEX(IMPORTDATA(""https://raw.githubusercontent.com/lukes/ISO-3166-Countries-with-Regional-Codes/master/all/all.csv""), MATCH(C433, INDEX(IMPORTDATA(""https://raw.githubusercontent.com/lukes/ISO-3166-Countries-with-Regional-Codes/master/all/all.csv""), 0"&amp;", 1), 0), 2)"),"NP")</f>
        <v>NP</v>
      </c>
      <c r="E433" s="5" t="s">
        <v>1048</v>
      </c>
      <c r="F433" s="5" t="s">
        <v>1049</v>
      </c>
      <c r="H433" s="12">
        <v>32964.0</v>
      </c>
      <c r="I433" s="5" t="s">
        <v>156</v>
      </c>
      <c r="J433" s="26" t="s">
        <v>42</v>
      </c>
      <c r="K433" s="27">
        <v>574.0</v>
      </c>
      <c r="L433" s="10" t="s">
        <v>18</v>
      </c>
      <c r="M433" s="6" t="str">
        <f t="shared" si="7"/>
        <v/>
      </c>
    </row>
    <row r="434" ht="22.5" customHeight="1">
      <c r="A434" s="5">
        <f t="shared" si="3"/>
        <v>430</v>
      </c>
      <c r="B434" s="5" t="s">
        <v>1050</v>
      </c>
      <c r="C434" s="5" t="s">
        <v>14</v>
      </c>
      <c r="D434" s="6" t="str">
        <f>IFERROR(__xludf.DUMMYFUNCTION("INDEX(IMPORTDATA(""https://raw.githubusercontent.com/lukes/ISO-3166-Countries-with-Regional-Codes/master/all/all.csv""), MATCH(C434, INDEX(IMPORTDATA(""https://raw.githubusercontent.com/lukes/ISO-3166-Countries-with-Regional-Codes/master/all/all.csv""), 0"&amp;", 1), 0), 2)"),"NP")</f>
        <v>NP</v>
      </c>
      <c r="E434" s="5" t="s">
        <v>1051</v>
      </c>
      <c r="F434" s="5" t="s">
        <v>1052</v>
      </c>
      <c r="H434" s="7">
        <v>38654.0</v>
      </c>
      <c r="I434" s="5" t="s">
        <v>156</v>
      </c>
      <c r="J434" s="26" t="s">
        <v>42</v>
      </c>
      <c r="K434" s="27">
        <v>575.0</v>
      </c>
      <c r="L434" s="10" t="s">
        <v>18</v>
      </c>
      <c r="M434" s="6" t="str">
        <f t="shared" si="7"/>
        <v/>
      </c>
    </row>
    <row r="435" ht="22.5" customHeight="1">
      <c r="A435" s="5">
        <f t="shared" si="3"/>
        <v>431</v>
      </c>
      <c r="B435" s="5" t="s">
        <v>1053</v>
      </c>
      <c r="C435" s="5" t="s">
        <v>14</v>
      </c>
      <c r="D435" s="6" t="str">
        <f>IFERROR(__xludf.DUMMYFUNCTION("INDEX(IMPORTDATA(""https://raw.githubusercontent.com/lukes/ISO-3166-Countries-with-Regional-Codes/master/all/all.csv""), MATCH(C435, INDEX(IMPORTDATA(""https://raw.githubusercontent.com/lukes/ISO-3166-Countries-with-Regional-Codes/master/all/all.csv""), 0"&amp;", 1), 0), 2)"),"NP")</f>
        <v>NP</v>
      </c>
      <c r="E435" s="5" t="s">
        <v>1054</v>
      </c>
      <c r="F435" s="5" t="s">
        <v>1055</v>
      </c>
      <c r="G435" s="5">
        <v>1496419.0</v>
      </c>
      <c r="H435" s="7">
        <v>26402.0</v>
      </c>
      <c r="I435" s="5" t="s">
        <v>156</v>
      </c>
      <c r="J435" s="26" t="s">
        <v>42</v>
      </c>
      <c r="K435" s="27">
        <v>576.0</v>
      </c>
      <c r="L435" s="10" t="s">
        <v>35</v>
      </c>
      <c r="M435" s="6" t="str">
        <f t="shared" si="7"/>
        <v/>
      </c>
    </row>
    <row r="436" ht="22.5" customHeight="1">
      <c r="A436" s="5">
        <f t="shared" si="3"/>
        <v>432</v>
      </c>
      <c r="B436" s="5" t="s">
        <v>1056</v>
      </c>
      <c r="C436" s="5" t="s">
        <v>14</v>
      </c>
      <c r="D436" s="6" t="str">
        <f>IFERROR(__xludf.DUMMYFUNCTION("INDEX(IMPORTDATA(""https://raw.githubusercontent.com/lukes/ISO-3166-Countries-with-Regional-Codes/master/all/all.csv""), MATCH(C436, INDEX(IMPORTDATA(""https://raw.githubusercontent.com/lukes/ISO-3166-Countries-with-Regional-Codes/master/all/all.csv""), 0"&amp;", 1), 0), 2)"),"NP")</f>
        <v>NP</v>
      </c>
      <c r="E436" s="5">
        <v>9.86059859E9</v>
      </c>
      <c r="F436" s="5" t="s">
        <v>1057</v>
      </c>
      <c r="G436" s="5">
        <v>6985810.0</v>
      </c>
      <c r="H436" s="12">
        <v>35526.0</v>
      </c>
      <c r="I436" s="5" t="s">
        <v>156</v>
      </c>
      <c r="J436" s="26" t="s">
        <v>42</v>
      </c>
      <c r="K436" s="27">
        <v>577.0</v>
      </c>
      <c r="L436" s="10" t="s">
        <v>89</v>
      </c>
      <c r="M436" s="6" t="str">
        <f t="shared" si="7"/>
        <v/>
      </c>
    </row>
    <row r="437" ht="22.5" customHeight="1">
      <c r="A437" s="5">
        <f t="shared" si="3"/>
        <v>433</v>
      </c>
      <c r="B437" s="5" t="s">
        <v>1058</v>
      </c>
      <c r="C437" s="5" t="s">
        <v>14</v>
      </c>
      <c r="D437" s="6" t="str">
        <f>IFERROR(__xludf.DUMMYFUNCTION("INDEX(IMPORTDATA(""https://raw.githubusercontent.com/lukes/ISO-3166-Countries-with-Regional-Codes/master/all/all.csv""), MATCH(C437, INDEX(IMPORTDATA(""https://raw.githubusercontent.com/lukes/ISO-3166-Countries-with-Regional-Codes/master/all/all.csv""), 0"&amp;", 1), 0), 2)"),"NP")</f>
        <v>NP</v>
      </c>
      <c r="E437" s="5">
        <v>9.845978411E9</v>
      </c>
      <c r="F437" s="5" t="s">
        <v>1059</v>
      </c>
      <c r="G437" s="5">
        <v>7171923.0</v>
      </c>
      <c r="H437" s="7">
        <v>36734.0</v>
      </c>
      <c r="I437" s="5" t="s">
        <v>156</v>
      </c>
      <c r="J437" s="26" t="s">
        <v>42</v>
      </c>
      <c r="K437" s="27">
        <v>578.0</v>
      </c>
      <c r="L437" s="10" t="s">
        <v>89</v>
      </c>
      <c r="M437" s="6" t="str">
        <f t="shared" si="7"/>
        <v/>
      </c>
    </row>
    <row r="438" ht="22.5" customHeight="1">
      <c r="A438" s="5">
        <f t="shared" si="3"/>
        <v>434</v>
      </c>
      <c r="B438" s="5" t="s">
        <v>1060</v>
      </c>
      <c r="C438" s="5" t="s">
        <v>14</v>
      </c>
      <c r="D438" s="6" t="str">
        <f>IFERROR(__xludf.DUMMYFUNCTION("INDEX(IMPORTDATA(""https://raw.githubusercontent.com/lukes/ISO-3166-Countries-with-Regional-Codes/master/all/all.csv""), MATCH(C438, INDEX(IMPORTDATA(""https://raw.githubusercontent.com/lukes/ISO-3166-Countries-with-Regional-Codes/master/all/all.csv""), 0"&amp;", 1), 0), 2)"),"NP")</f>
        <v>NP</v>
      </c>
      <c r="E438" s="5">
        <v>9.851111358E9</v>
      </c>
      <c r="F438" s="5" t="s">
        <v>1061</v>
      </c>
      <c r="G438" s="5">
        <v>5348270.0</v>
      </c>
      <c r="H438" s="7">
        <v>30153.0</v>
      </c>
      <c r="I438" s="5" t="s">
        <v>156</v>
      </c>
      <c r="J438" s="26" t="s">
        <v>42</v>
      </c>
      <c r="K438" s="27">
        <v>579.0</v>
      </c>
      <c r="L438" s="10" t="s">
        <v>18</v>
      </c>
      <c r="M438" s="6" t="str">
        <f t="shared" si="7"/>
        <v/>
      </c>
    </row>
    <row r="439" ht="22.5" customHeight="1">
      <c r="A439" s="5">
        <f t="shared" si="3"/>
        <v>435</v>
      </c>
      <c r="B439" s="5" t="s">
        <v>1062</v>
      </c>
      <c r="C439" s="5" t="s">
        <v>14</v>
      </c>
      <c r="D439" s="6" t="str">
        <f>IFERROR(__xludf.DUMMYFUNCTION("INDEX(IMPORTDATA(""https://raw.githubusercontent.com/lukes/ISO-3166-Countries-with-Regional-Codes/master/all/all.csv""), MATCH(C439, INDEX(IMPORTDATA(""https://raw.githubusercontent.com/lukes/ISO-3166-Countries-with-Regional-Codes/master/all/all.csv""), 0"&amp;", 1), 0), 2)"),"NP")</f>
        <v>NP</v>
      </c>
      <c r="E439" s="5">
        <v>9.818444033E9</v>
      </c>
      <c r="F439" s="5" t="s">
        <v>1063</v>
      </c>
      <c r="G439" s="5">
        <v>6182720.0</v>
      </c>
      <c r="H439" s="7">
        <v>32948.0</v>
      </c>
      <c r="I439" s="5" t="s">
        <v>156</v>
      </c>
      <c r="J439" s="26" t="s">
        <v>42</v>
      </c>
      <c r="K439" s="27">
        <v>580.0</v>
      </c>
      <c r="L439" s="10" t="s">
        <v>89</v>
      </c>
      <c r="M439" s="6" t="str">
        <f t="shared" si="7"/>
        <v/>
      </c>
    </row>
    <row r="440" ht="22.5" customHeight="1">
      <c r="A440" s="5">
        <f t="shared" si="3"/>
        <v>436</v>
      </c>
      <c r="B440" s="5" t="s">
        <v>1064</v>
      </c>
      <c r="C440" s="5" t="s">
        <v>14</v>
      </c>
      <c r="D440" s="6" t="str">
        <f>IFERROR(__xludf.DUMMYFUNCTION("INDEX(IMPORTDATA(""https://raw.githubusercontent.com/lukes/ISO-3166-Countries-with-Regional-Codes/master/all/all.csv""), MATCH(C440, INDEX(IMPORTDATA(""https://raw.githubusercontent.com/lukes/ISO-3166-Countries-with-Regional-Codes/master/all/all.csv""), 0"&amp;", 1), 0), 2)"),"NP")</f>
        <v>NP</v>
      </c>
      <c r="E440" s="5">
        <v>9.855012042E9</v>
      </c>
      <c r="F440" s="5" t="s">
        <v>1065</v>
      </c>
      <c r="G440" s="5">
        <v>6946947.0</v>
      </c>
      <c r="H440" s="7">
        <v>32685.0</v>
      </c>
      <c r="I440" s="5" t="s">
        <v>156</v>
      </c>
      <c r="J440" s="26" t="s">
        <v>42</v>
      </c>
      <c r="K440" s="27">
        <v>581.0</v>
      </c>
      <c r="L440" s="10" t="s">
        <v>18</v>
      </c>
      <c r="M440" s="6" t="str">
        <f t="shared" si="7"/>
        <v/>
      </c>
    </row>
    <row r="441" ht="22.5" customHeight="1">
      <c r="A441" s="5">
        <f t="shared" si="3"/>
        <v>437</v>
      </c>
      <c r="B441" s="5" t="s">
        <v>1066</v>
      </c>
      <c r="C441" s="5" t="s">
        <v>14</v>
      </c>
      <c r="D441" s="6" t="str">
        <f>IFERROR(__xludf.DUMMYFUNCTION("INDEX(IMPORTDATA(""https://raw.githubusercontent.com/lukes/ISO-3166-Countries-with-Regional-Codes/master/all/all.csv""), MATCH(C441, INDEX(IMPORTDATA(""https://raw.githubusercontent.com/lukes/ISO-3166-Countries-with-Regional-Codes/master/all/all.csv""), 0"&amp;", 1), 0), 2)"),"NP")</f>
        <v>NP</v>
      </c>
      <c r="E441" s="5" t="s">
        <v>1067</v>
      </c>
      <c r="F441" s="5" t="s">
        <v>1068</v>
      </c>
      <c r="G441" s="5">
        <v>154878.0</v>
      </c>
      <c r="H441" s="12">
        <v>30355.0</v>
      </c>
      <c r="I441" s="5" t="s">
        <v>156</v>
      </c>
      <c r="J441" s="26" t="s">
        <v>42</v>
      </c>
      <c r="K441" s="27">
        <v>582.0</v>
      </c>
      <c r="L441" s="10" t="s">
        <v>18</v>
      </c>
      <c r="M441" s="6" t="str">
        <f t="shared" si="7"/>
        <v/>
      </c>
    </row>
    <row r="442" ht="22.5" customHeight="1">
      <c r="A442" s="5">
        <f t="shared" si="3"/>
        <v>438</v>
      </c>
      <c r="B442" s="5" t="s">
        <v>1069</v>
      </c>
      <c r="C442" s="5" t="s">
        <v>14</v>
      </c>
      <c r="D442" s="6" t="str">
        <f>IFERROR(__xludf.DUMMYFUNCTION("INDEX(IMPORTDATA(""https://raw.githubusercontent.com/lukes/ISO-3166-Countries-with-Regional-Codes/master/all/all.csv""), MATCH(C442, INDEX(IMPORTDATA(""https://raw.githubusercontent.com/lukes/ISO-3166-Countries-with-Regional-Codes/master/all/all.csv""), 0"&amp;", 1), 0), 2)"),"NP")</f>
        <v>NP</v>
      </c>
      <c r="E442" s="5">
        <v>9.841207504E9</v>
      </c>
      <c r="F442" s="5" t="s">
        <v>1070</v>
      </c>
      <c r="G442" s="5">
        <v>5715704.0</v>
      </c>
      <c r="H442" s="7">
        <v>28851.0</v>
      </c>
      <c r="I442" s="5" t="s">
        <v>156</v>
      </c>
      <c r="J442" s="26" t="s">
        <v>42</v>
      </c>
      <c r="K442" s="27">
        <v>583.0</v>
      </c>
      <c r="L442" s="10" t="s">
        <v>35</v>
      </c>
      <c r="M442" s="6" t="str">
        <f t="shared" si="7"/>
        <v/>
      </c>
    </row>
    <row r="443" ht="22.5" customHeight="1">
      <c r="A443" s="5">
        <f t="shared" si="3"/>
        <v>439</v>
      </c>
      <c r="B443" s="5" t="s">
        <v>1071</v>
      </c>
      <c r="C443" s="5" t="s">
        <v>14</v>
      </c>
      <c r="D443" s="6" t="str">
        <f>IFERROR(__xludf.DUMMYFUNCTION("INDEX(IMPORTDATA(""https://raw.githubusercontent.com/lukes/ISO-3166-Countries-with-Regional-Codes/master/all/all.csv""), MATCH(C443, INDEX(IMPORTDATA(""https://raw.githubusercontent.com/lukes/ISO-3166-Countries-with-Regional-Codes/master/all/all.csv""), 0"&amp;", 1), 0), 2)"),"NP")</f>
        <v>NP</v>
      </c>
      <c r="E443" s="5" t="s">
        <v>1072</v>
      </c>
      <c r="F443" s="5" t="s">
        <v>1073</v>
      </c>
      <c r="H443" s="12">
        <v>37566.0</v>
      </c>
      <c r="I443" s="5" t="s">
        <v>156</v>
      </c>
      <c r="J443" s="26" t="s">
        <v>42</v>
      </c>
      <c r="K443" s="27">
        <v>584.0</v>
      </c>
      <c r="L443" s="10" t="s">
        <v>18</v>
      </c>
      <c r="M443" s="6" t="str">
        <f t="shared" si="7"/>
        <v/>
      </c>
    </row>
    <row r="444" ht="22.5" customHeight="1">
      <c r="A444" s="5">
        <f t="shared" si="3"/>
        <v>440</v>
      </c>
      <c r="B444" s="5" t="s">
        <v>1074</v>
      </c>
      <c r="C444" s="5" t="s">
        <v>14</v>
      </c>
      <c r="D444" s="6" t="str">
        <f>IFERROR(__xludf.DUMMYFUNCTION("INDEX(IMPORTDATA(""https://raw.githubusercontent.com/lukes/ISO-3166-Countries-with-Regional-Codes/master/all/all.csv""), MATCH(C444, INDEX(IMPORTDATA(""https://raw.githubusercontent.com/lukes/ISO-3166-Countries-with-Regional-Codes/master/all/all.csv""), 0"&amp;", 1), 0), 2)"),"NP")</f>
        <v>NP</v>
      </c>
      <c r="E444" s="5">
        <v>9.851046299E9</v>
      </c>
      <c r="F444" s="5" t="s">
        <v>1075</v>
      </c>
      <c r="G444" s="5">
        <v>6152380.0</v>
      </c>
      <c r="H444" s="7">
        <v>26996.0</v>
      </c>
      <c r="I444" s="5" t="s">
        <v>156</v>
      </c>
      <c r="J444" s="26" t="s">
        <v>42</v>
      </c>
      <c r="K444" s="27">
        <v>585.0</v>
      </c>
      <c r="L444" s="10" t="s">
        <v>29</v>
      </c>
      <c r="M444" s="6" t="str">
        <f t="shared" si="7"/>
        <v/>
      </c>
    </row>
    <row r="445" ht="22.5" customHeight="1">
      <c r="A445" s="5">
        <f t="shared" si="3"/>
        <v>441</v>
      </c>
      <c r="B445" s="5" t="s">
        <v>1076</v>
      </c>
      <c r="C445" s="5" t="s">
        <v>14</v>
      </c>
      <c r="D445" s="6" t="str">
        <f>IFERROR(__xludf.DUMMYFUNCTION("INDEX(IMPORTDATA(""https://raw.githubusercontent.com/lukes/ISO-3166-Countries-with-Regional-Codes/master/all/all.csv""), MATCH(C445, INDEX(IMPORTDATA(""https://raw.githubusercontent.com/lukes/ISO-3166-Countries-with-Regional-Codes/master/all/all.csv""), 0"&amp;", 1), 0), 2)"),"NP")</f>
        <v>NP</v>
      </c>
      <c r="E445" s="5">
        <v>9.851046299E9</v>
      </c>
      <c r="F445" s="5" t="s">
        <v>1075</v>
      </c>
      <c r="G445" s="5">
        <v>6152380.0</v>
      </c>
      <c r="H445" s="7">
        <v>26996.0</v>
      </c>
      <c r="I445" s="5" t="s">
        <v>156</v>
      </c>
      <c r="J445" s="26" t="s">
        <v>42</v>
      </c>
      <c r="K445" s="27">
        <v>586.0</v>
      </c>
      <c r="L445" s="10" t="s">
        <v>29</v>
      </c>
      <c r="M445" s="6" t="str">
        <f t="shared" si="7"/>
        <v/>
      </c>
    </row>
    <row r="446" ht="22.5" customHeight="1">
      <c r="A446" s="5">
        <f t="shared" si="3"/>
        <v>442</v>
      </c>
      <c r="B446" s="5" t="s">
        <v>868</v>
      </c>
      <c r="C446" s="5" t="s">
        <v>14</v>
      </c>
      <c r="D446" s="6" t="str">
        <f>IFERROR(__xludf.DUMMYFUNCTION("INDEX(IMPORTDATA(""https://raw.githubusercontent.com/lukes/ISO-3166-Countries-with-Regional-Codes/master/all/all.csv""), MATCH(C446, INDEX(IMPORTDATA(""https://raw.githubusercontent.com/lukes/ISO-3166-Countries-with-Regional-Codes/master/all/all.csv""), 0"&amp;", 1), 0), 2)"),"NP")</f>
        <v>NP</v>
      </c>
      <c r="E446" s="5">
        <v>9.823606791E9</v>
      </c>
      <c r="F446" s="5" t="s">
        <v>1077</v>
      </c>
      <c r="G446" s="5">
        <v>6930391.0</v>
      </c>
      <c r="H446" s="12">
        <v>36375.0</v>
      </c>
      <c r="I446" s="5" t="s">
        <v>156</v>
      </c>
      <c r="J446" s="26" t="s">
        <v>42</v>
      </c>
      <c r="K446" s="27">
        <v>587.0</v>
      </c>
      <c r="L446" s="10" t="s">
        <v>89</v>
      </c>
      <c r="M446" s="6" t="str">
        <f t="shared" si="7"/>
        <v/>
      </c>
    </row>
    <row r="447" ht="22.5" customHeight="1">
      <c r="A447" s="5">
        <f t="shared" si="3"/>
        <v>443</v>
      </c>
      <c r="B447" s="5" t="s">
        <v>1078</v>
      </c>
      <c r="C447" s="5" t="s">
        <v>14</v>
      </c>
      <c r="D447" s="6" t="str">
        <f>IFERROR(__xludf.DUMMYFUNCTION("INDEX(IMPORTDATA(""https://raw.githubusercontent.com/lukes/ISO-3166-Countries-with-Regional-Codes/master/all/all.csv""), MATCH(C447, INDEX(IMPORTDATA(""https://raw.githubusercontent.com/lukes/ISO-3166-Countries-with-Regional-Codes/master/all/all.csv""), 0"&amp;", 1), 0), 2)"),"NP")</f>
        <v>NP</v>
      </c>
      <c r="E447" s="5">
        <v>9.828761674E9</v>
      </c>
      <c r="F447" s="5" t="s">
        <v>1079</v>
      </c>
      <c r="G447" s="5" t="s">
        <v>1078</v>
      </c>
      <c r="H447" s="12">
        <v>32782.0</v>
      </c>
      <c r="I447" s="5" t="s">
        <v>156</v>
      </c>
      <c r="J447" s="26" t="s">
        <v>42</v>
      </c>
      <c r="K447" s="27">
        <v>588.0</v>
      </c>
      <c r="L447" s="10" t="s">
        <v>18</v>
      </c>
      <c r="M447" s="6" t="str">
        <f t="shared" si="7"/>
        <v/>
      </c>
    </row>
    <row r="448" ht="22.5" customHeight="1">
      <c r="A448" s="5">
        <f t="shared" si="3"/>
        <v>444</v>
      </c>
      <c r="B448" s="5" t="s">
        <v>1080</v>
      </c>
      <c r="C448" s="5" t="s">
        <v>14</v>
      </c>
      <c r="D448" s="6" t="str">
        <f>IFERROR(__xludf.DUMMYFUNCTION("INDEX(IMPORTDATA(""https://raw.githubusercontent.com/lukes/ISO-3166-Countries-with-Regional-Codes/master/all/all.csv""), MATCH(C448, INDEX(IMPORTDATA(""https://raw.githubusercontent.com/lukes/ISO-3166-Countries-with-Regional-Codes/master/all/all.csv""), 0"&amp;", 1), 0), 2)"),"NP")</f>
        <v>NP</v>
      </c>
      <c r="E448" s="5">
        <v>9.766241409E9</v>
      </c>
      <c r="F448" s="5" t="s">
        <v>1081</v>
      </c>
      <c r="G448" s="5">
        <v>4903730.0</v>
      </c>
      <c r="H448" s="7">
        <v>37672.0</v>
      </c>
      <c r="I448" s="5" t="s">
        <v>156</v>
      </c>
      <c r="J448" s="26" t="s">
        <v>42</v>
      </c>
      <c r="K448" s="27">
        <v>589.0</v>
      </c>
      <c r="L448" s="10" t="s">
        <v>18</v>
      </c>
      <c r="M448" s="6" t="str">
        <f t="shared" si="7"/>
        <v/>
      </c>
    </row>
    <row r="449" ht="22.5" customHeight="1">
      <c r="A449" s="5">
        <f t="shared" si="3"/>
        <v>445</v>
      </c>
      <c r="B449" s="5" t="s">
        <v>1082</v>
      </c>
      <c r="C449" s="5" t="s">
        <v>14</v>
      </c>
      <c r="D449" s="6" t="str">
        <f>IFERROR(__xludf.DUMMYFUNCTION("INDEX(IMPORTDATA(""https://raw.githubusercontent.com/lukes/ISO-3166-Countries-with-Regional-Codes/master/all/all.csv""), MATCH(C449, INDEX(IMPORTDATA(""https://raw.githubusercontent.com/lukes/ISO-3166-Countries-with-Regional-Codes/master/all/all.csv""), 0"&amp;", 1), 0), 2)"),"NP")</f>
        <v>NP</v>
      </c>
      <c r="E449" s="5" t="s">
        <v>1083</v>
      </c>
      <c r="F449" s="5" t="s">
        <v>1084</v>
      </c>
      <c r="G449" s="5">
        <v>6345206.0</v>
      </c>
      <c r="H449" s="12">
        <v>24381.0</v>
      </c>
      <c r="I449" s="5" t="s">
        <v>156</v>
      </c>
      <c r="J449" s="26" t="s">
        <v>42</v>
      </c>
      <c r="K449" s="27">
        <v>590.0</v>
      </c>
      <c r="L449" s="10" t="s">
        <v>35</v>
      </c>
      <c r="M449" s="6" t="str">
        <f t="shared" si="7"/>
        <v/>
      </c>
    </row>
    <row r="450" ht="22.5" customHeight="1">
      <c r="A450" s="5">
        <f t="shared" si="3"/>
        <v>446</v>
      </c>
      <c r="B450" s="5" t="s">
        <v>1085</v>
      </c>
      <c r="C450" s="5" t="s">
        <v>14</v>
      </c>
      <c r="D450" s="6" t="str">
        <f>IFERROR(__xludf.DUMMYFUNCTION("INDEX(IMPORTDATA(""https://raw.githubusercontent.com/lukes/ISO-3166-Countries-with-Regional-Codes/master/all/all.csv""), MATCH(C450, INDEX(IMPORTDATA(""https://raw.githubusercontent.com/lukes/ISO-3166-Countries-with-Regional-Codes/master/all/all.csv""), 0"&amp;", 1), 0), 2)"),"NP")</f>
        <v>NP</v>
      </c>
      <c r="E450" s="5">
        <v>9.767271895E9</v>
      </c>
      <c r="F450" s="5" t="s">
        <v>1086</v>
      </c>
      <c r="G450" s="5">
        <v>5379407.0</v>
      </c>
      <c r="H450" s="7">
        <v>36123.0</v>
      </c>
      <c r="I450" s="5" t="s">
        <v>156</v>
      </c>
      <c r="J450" s="26" t="s">
        <v>42</v>
      </c>
      <c r="K450" s="27">
        <v>591.0</v>
      </c>
      <c r="L450" s="10" t="s">
        <v>35</v>
      </c>
      <c r="M450" s="6" t="str">
        <f t="shared" si="7"/>
        <v/>
      </c>
    </row>
    <row r="451" ht="22.5" customHeight="1">
      <c r="A451" s="5">
        <f t="shared" si="3"/>
        <v>447</v>
      </c>
      <c r="B451" s="5" t="s">
        <v>1087</v>
      </c>
      <c r="C451" s="5" t="s">
        <v>14</v>
      </c>
      <c r="D451" s="6" t="str">
        <f>IFERROR(__xludf.DUMMYFUNCTION("INDEX(IMPORTDATA(""https://raw.githubusercontent.com/lukes/ISO-3166-Countries-with-Regional-Codes/master/all/all.csv""), MATCH(C451, INDEX(IMPORTDATA(""https://raw.githubusercontent.com/lukes/ISO-3166-Countries-with-Regional-Codes/master/all/all.csv""), 0"&amp;", 1), 0), 2)"),"NP")</f>
        <v>NP</v>
      </c>
      <c r="E451" s="5">
        <v>9.763378293E9</v>
      </c>
      <c r="F451" s="5" t="s">
        <v>1088</v>
      </c>
      <c r="G451" s="5">
        <v>6999698.0</v>
      </c>
      <c r="H451" s="7">
        <v>37523.0</v>
      </c>
      <c r="I451" s="5" t="s">
        <v>156</v>
      </c>
      <c r="J451" s="26" t="s">
        <v>42</v>
      </c>
      <c r="K451" s="27">
        <v>592.0</v>
      </c>
      <c r="L451" s="10" t="s">
        <v>18</v>
      </c>
      <c r="M451" s="6" t="str">
        <f t="shared" si="7"/>
        <v/>
      </c>
    </row>
    <row r="452" ht="22.5" customHeight="1">
      <c r="A452" s="5">
        <f t="shared" si="3"/>
        <v>448</v>
      </c>
      <c r="B452" s="5" t="s">
        <v>1089</v>
      </c>
      <c r="C452" s="5" t="s">
        <v>14</v>
      </c>
      <c r="D452" s="6" t="str">
        <f>IFERROR(__xludf.DUMMYFUNCTION("INDEX(IMPORTDATA(""https://raw.githubusercontent.com/lukes/ISO-3166-Countries-with-Regional-Codes/master/all/all.csv""), MATCH(C452, INDEX(IMPORTDATA(""https://raw.githubusercontent.com/lukes/ISO-3166-Countries-with-Regional-Codes/master/all/all.csv""), 0"&amp;", 1), 0), 2)"),"NP")</f>
        <v>NP</v>
      </c>
      <c r="E452" s="5" t="s">
        <v>1090</v>
      </c>
      <c r="F452" s="5" t="s">
        <v>1091</v>
      </c>
      <c r="G452" s="5">
        <v>6293619.0</v>
      </c>
      <c r="H452" s="7">
        <v>38252.0</v>
      </c>
      <c r="I452" s="5" t="s">
        <v>156</v>
      </c>
      <c r="J452" s="26" t="s">
        <v>42</v>
      </c>
      <c r="K452" s="27">
        <v>593.0</v>
      </c>
      <c r="L452" s="10" t="s">
        <v>89</v>
      </c>
      <c r="M452" s="6" t="str">
        <f t="shared" si="7"/>
        <v/>
      </c>
    </row>
    <row r="453" ht="22.5" customHeight="1">
      <c r="A453" s="5">
        <f t="shared" si="3"/>
        <v>449</v>
      </c>
      <c r="B453" s="5" t="s">
        <v>1092</v>
      </c>
      <c r="C453" s="5" t="s">
        <v>14</v>
      </c>
      <c r="D453" s="6" t="str">
        <f>IFERROR(__xludf.DUMMYFUNCTION("INDEX(IMPORTDATA(""https://raw.githubusercontent.com/lukes/ISO-3166-Countries-with-Regional-Codes/master/all/all.csv""), MATCH(C453, INDEX(IMPORTDATA(""https://raw.githubusercontent.com/lukes/ISO-3166-Countries-with-Regional-Codes/master/all/all.csv""), 0"&amp;", 1), 0), 2)"),"NP")</f>
        <v>NP</v>
      </c>
      <c r="E453" s="5">
        <v>9.742338475E9</v>
      </c>
      <c r="F453" s="5" t="s">
        <v>1093</v>
      </c>
      <c r="G453" s="5" t="s">
        <v>812</v>
      </c>
      <c r="H453" s="7">
        <v>37490.0</v>
      </c>
      <c r="I453" s="5" t="s">
        <v>156</v>
      </c>
      <c r="J453" s="26" t="s">
        <v>42</v>
      </c>
      <c r="K453" s="27">
        <v>594.0</v>
      </c>
      <c r="L453" s="10" t="s">
        <v>89</v>
      </c>
      <c r="M453" s="6" t="str">
        <f t="shared" si="7"/>
        <v/>
      </c>
    </row>
    <row r="454" ht="22.5" customHeight="1">
      <c r="A454" s="5">
        <f t="shared" si="3"/>
        <v>450</v>
      </c>
      <c r="B454" s="5" t="s">
        <v>1094</v>
      </c>
      <c r="C454" s="5" t="s">
        <v>14</v>
      </c>
      <c r="D454" s="6" t="str">
        <f>IFERROR(__xludf.DUMMYFUNCTION("INDEX(IMPORTDATA(""https://raw.githubusercontent.com/lukes/ISO-3166-Countries-with-Regional-Codes/master/all/all.csv""), MATCH(C454, INDEX(IMPORTDATA(""https://raw.githubusercontent.com/lukes/ISO-3166-Countries-with-Regional-Codes/master/all/all.csv""), 0"&amp;", 1), 0), 2)"),"NP")</f>
        <v>NP</v>
      </c>
      <c r="E454" s="5">
        <v>9.851125444E9</v>
      </c>
      <c r="F454" s="5" t="s">
        <v>1095</v>
      </c>
      <c r="H454" s="7">
        <v>29782.0</v>
      </c>
      <c r="I454" s="5" t="s">
        <v>156</v>
      </c>
      <c r="J454" s="26" t="s">
        <v>42</v>
      </c>
      <c r="K454" s="27">
        <v>595.0</v>
      </c>
      <c r="L454" s="10" t="s">
        <v>35</v>
      </c>
      <c r="M454" s="6" t="str">
        <f t="shared" si="7"/>
        <v/>
      </c>
    </row>
    <row r="455" ht="22.5" customHeight="1">
      <c r="A455" s="5">
        <f t="shared" si="3"/>
        <v>451</v>
      </c>
      <c r="B455" s="5" t="s">
        <v>1096</v>
      </c>
      <c r="C455" s="5" t="s">
        <v>14</v>
      </c>
      <c r="D455" s="6" t="str">
        <f>IFERROR(__xludf.DUMMYFUNCTION("INDEX(IMPORTDATA(""https://raw.githubusercontent.com/lukes/ISO-3166-Countries-with-Regional-Codes/master/all/all.csv""), MATCH(C455, INDEX(IMPORTDATA(""https://raw.githubusercontent.com/lukes/ISO-3166-Countries-with-Regional-Codes/master/all/all.csv""), 0"&amp;", 1), 0), 2)"),"NP")</f>
        <v>NP</v>
      </c>
      <c r="E455" s="5">
        <v>9.841451852E9</v>
      </c>
      <c r="F455" s="5" t="s">
        <v>1097</v>
      </c>
      <c r="H455" s="7">
        <v>33708.0</v>
      </c>
      <c r="I455" s="5" t="s">
        <v>156</v>
      </c>
      <c r="J455" s="26" t="s">
        <v>42</v>
      </c>
      <c r="K455" s="27">
        <v>596.0</v>
      </c>
      <c r="L455" s="10" t="s">
        <v>35</v>
      </c>
      <c r="M455" s="6" t="str">
        <f t="shared" si="7"/>
        <v/>
      </c>
    </row>
    <row r="456" ht="22.5" customHeight="1">
      <c r="A456" s="5">
        <f t="shared" si="3"/>
        <v>452</v>
      </c>
      <c r="B456" s="5" t="s">
        <v>1098</v>
      </c>
      <c r="C456" s="5" t="s">
        <v>14</v>
      </c>
      <c r="D456" s="6" t="str">
        <f>IFERROR(__xludf.DUMMYFUNCTION("INDEX(IMPORTDATA(""https://raw.githubusercontent.com/lukes/ISO-3166-Countries-with-Regional-Codes/master/all/all.csv""), MATCH(C456, INDEX(IMPORTDATA(""https://raw.githubusercontent.com/lukes/ISO-3166-Countries-with-Regional-Codes/master/all/all.csv""), 0"&amp;", 1), 0), 2)"),"NP")</f>
        <v>NP</v>
      </c>
      <c r="E456" s="5">
        <v>9.851164779E9</v>
      </c>
      <c r="F456" s="5" t="s">
        <v>1099</v>
      </c>
      <c r="G456" s="5">
        <v>5415438.0</v>
      </c>
      <c r="H456" s="7">
        <v>31101.0</v>
      </c>
      <c r="I456" s="5" t="s">
        <v>156</v>
      </c>
      <c r="J456" s="26" t="s">
        <v>42</v>
      </c>
      <c r="K456" s="27">
        <v>597.0</v>
      </c>
      <c r="L456" s="10" t="s">
        <v>18</v>
      </c>
      <c r="M456" s="6" t="str">
        <f t="shared" si="7"/>
        <v/>
      </c>
    </row>
    <row r="457" ht="22.5" customHeight="1">
      <c r="A457" s="5">
        <f t="shared" si="3"/>
        <v>453</v>
      </c>
      <c r="B457" s="5" t="s">
        <v>1100</v>
      </c>
      <c r="C457" s="5" t="s">
        <v>14</v>
      </c>
      <c r="D457" s="6" t="str">
        <f>IFERROR(__xludf.DUMMYFUNCTION("INDEX(IMPORTDATA(""https://raw.githubusercontent.com/lukes/ISO-3166-Countries-with-Regional-Codes/master/all/all.csv""), MATCH(C457, INDEX(IMPORTDATA(""https://raw.githubusercontent.com/lukes/ISO-3166-Countries-with-Regional-Codes/master/all/all.csv""), 0"&amp;", 1), 0), 2)"),"NP")</f>
        <v>NP</v>
      </c>
      <c r="E457" s="5">
        <v>9.818671492E9</v>
      </c>
      <c r="F457" s="5" t="s">
        <v>1101</v>
      </c>
      <c r="H457" s="12">
        <v>36778.0</v>
      </c>
      <c r="I457" s="5" t="s">
        <v>156</v>
      </c>
      <c r="J457" s="26" t="s">
        <v>42</v>
      </c>
      <c r="K457" s="27">
        <v>598.0</v>
      </c>
      <c r="L457" s="10" t="s">
        <v>35</v>
      </c>
      <c r="M457" s="6" t="str">
        <f t="shared" si="7"/>
        <v/>
      </c>
    </row>
    <row r="458" ht="22.5" customHeight="1">
      <c r="A458" s="5">
        <f t="shared" si="3"/>
        <v>454</v>
      </c>
      <c r="B458" s="5" t="s">
        <v>1102</v>
      </c>
      <c r="C458" s="5" t="s">
        <v>14</v>
      </c>
      <c r="D458" s="6" t="str">
        <f>IFERROR(__xludf.DUMMYFUNCTION("INDEX(IMPORTDATA(""https://raw.githubusercontent.com/lukes/ISO-3166-Countries-with-Regional-Codes/master/all/all.csv""), MATCH(C458, INDEX(IMPORTDATA(""https://raw.githubusercontent.com/lukes/ISO-3166-Countries-with-Regional-Codes/master/all/all.csv""), 0"&amp;", 1), 0), 2)"),"NP")</f>
        <v>NP</v>
      </c>
      <c r="E458" s="5">
        <v>9.841256989E9</v>
      </c>
      <c r="F458" s="5" t="s">
        <v>1103</v>
      </c>
      <c r="H458" s="7">
        <v>31288.0</v>
      </c>
      <c r="I458" s="5" t="s">
        <v>156</v>
      </c>
      <c r="J458" s="26" t="s">
        <v>42</v>
      </c>
      <c r="K458" s="27">
        <v>599.0</v>
      </c>
      <c r="L458" s="10" t="s">
        <v>18</v>
      </c>
      <c r="M458" s="6" t="str">
        <f t="shared" si="7"/>
        <v/>
      </c>
    </row>
    <row r="459" ht="22.5" customHeight="1">
      <c r="A459" s="5">
        <f t="shared" si="3"/>
        <v>455</v>
      </c>
      <c r="B459" s="5" t="s">
        <v>1104</v>
      </c>
      <c r="C459" s="5" t="s">
        <v>14</v>
      </c>
      <c r="D459" s="6" t="str">
        <f>IFERROR(__xludf.DUMMYFUNCTION("INDEX(IMPORTDATA(""https://raw.githubusercontent.com/lukes/ISO-3166-Countries-with-Regional-Codes/master/all/all.csv""), MATCH(C459, INDEX(IMPORTDATA(""https://raw.githubusercontent.com/lukes/ISO-3166-Countries-with-Regional-Codes/master/all/all.csv""), 0"&amp;", 1), 0), 2)"),"NP")</f>
        <v>NP</v>
      </c>
      <c r="E459" s="5" t="s">
        <v>1105</v>
      </c>
      <c r="F459" s="5" t="s">
        <v>1106</v>
      </c>
      <c r="G459" s="5">
        <v>1366741.0</v>
      </c>
      <c r="H459" s="7">
        <v>22758.0</v>
      </c>
      <c r="I459" s="5" t="s">
        <v>156</v>
      </c>
      <c r="J459" s="26" t="s">
        <v>42</v>
      </c>
      <c r="K459" s="27">
        <v>600.0</v>
      </c>
      <c r="L459" s="10" t="s">
        <v>29</v>
      </c>
      <c r="M459" s="6" t="str">
        <f t="shared" si="7"/>
        <v/>
      </c>
    </row>
    <row r="460" ht="22.5" customHeight="1">
      <c r="A460" s="5">
        <f t="shared" si="3"/>
        <v>456</v>
      </c>
      <c r="B460" s="5" t="s">
        <v>1107</v>
      </c>
      <c r="C460" s="5" t="s">
        <v>14</v>
      </c>
      <c r="D460" s="6" t="str">
        <f>IFERROR(__xludf.DUMMYFUNCTION("INDEX(IMPORTDATA(""https://raw.githubusercontent.com/lukes/ISO-3166-Countries-with-Regional-Codes/master/all/all.csv""), MATCH(C460, INDEX(IMPORTDATA(""https://raw.githubusercontent.com/lukes/ISO-3166-Countries-with-Regional-Codes/master/all/all.csv""), 0"&amp;", 1), 0), 2)"),"NP")</f>
        <v>NP</v>
      </c>
      <c r="E460" s="5">
        <v>9.8627145E9</v>
      </c>
      <c r="F460" s="5" t="s">
        <v>1108</v>
      </c>
      <c r="H460" s="7">
        <v>37881.0</v>
      </c>
      <c r="I460" s="5" t="s">
        <v>156</v>
      </c>
      <c r="J460" s="26" t="s">
        <v>42</v>
      </c>
      <c r="K460" s="27">
        <v>601.0</v>
      </c>
      <c r="L460" s="10" t="s">
        <v>18</v>
      </c>
      <c r="M460" s="6" t="str">
        <f t="shared" si="7"/>
        <v/>
      </c>
    </row>
    <row r="461" ht="22.5" customHeight="1">
      <c r="A461" s="5">
        <f t="shared" si="3"/>
        <v>457</v>
      </c>
      <c r="B461" s="5" t="s">
        <v>1109</v>
      </c>
      <c r="C461" s="5" t="s">
        <v>14</v>
      </c>
      <c r="D461" s="6" t="str">
        <f>IFERROR(__xludf.DUMMYFUNCTION("INDEX(IMPORTDATA(""https://raw.githubusercontent.com/lukes/ISO-3166-Countries-with-Regional-Codes/master/all/all.csv""), MATCH(C461, INDEX(IMPORTDATA(""https://raw.githubusercontent.com/lukes/ISO-3166-Countries-with-Regional-Codes/master/all/all.csv""), 0"&amp;", 1), 0), 2)"),"NP")</f>
        <v>NP</v>
      </c>
      <c r="E461" s="5">
        <v>9.860940702E9</v>
      </c>
      <c r="F461" s="5" t="s">
        <v>1110</v>
      </c>
      <c r="H461" s="12">
        <v>36499.0</v>
      </c>
      <c r="I461" s="5" t="s">
        <v>156</v>
      </c>
      <c r="J461" s="26" t="s">
        <v>42</v>
      </c>
      <c r="K461" s="27">
        <v>602.0</v>
      </c>
      <c r="L461" s="10" t="s">
        <v>89</v>
      </c>
      <c r="M461" s="6" t="str">
        <f t="shared" si="7"/>
        <v/>
      </c>
    </row>
    <row r="462" ht="22.5" customHeight="1">
      <c r="A462" s="5">
        <f t="shared" si="3"/>
        <v>458</v>
      </c>
      <c r="B462" s="5" t="s">
        <v>1111</v>
      </c>
      <c r="C462" s="5" t="s">
        <v>14</v>
      </c>
      <c r="D462" s="6" t="str">
        <f>IFERROR(__xludf.DUMMYFUNCTION("INDEX(IMPORTDATA(""https://raw.githubusercontent.com/lukes/ISO-3166-Countries-with-Regional-Codes/master/all/all.csv""), MATCH(C462, INDEX(IMPORTDATA(""https://raw.githubusercontent.com/lukes/ISO-3166-Countries-with-Regional-Codes/master/all/all.csv""), 0"&amp;", 1), 0), 2)"),"NP")</f>
        <v>NP</v>
      </c>
      <c r="E462" s="5">
        <v>9.8510675E9</v>
      </c>
      <c r="F462" s="5" t="s">
        <v>1112</v>
      </c>
      <c r="G462" s="5">
        <v>6079129.0</v>
      </c>
      <c r="H462" s="12">
        <v>28556.0</v>
      </c>
      <c r="I462" s="5" t="s">
        <v>156</v>
      </c>
      <c r="J462" s="26" t="s">
        <v>42</v>
      </c>
      <c r="K462" s="27">
        <v>603.0</v>
      </c>
      <c r="L462" s="10" t="s">
        <v>18</v>
      </c>
      <c r="M462" s="6" t="str">
        <f t="shared" si="7"/>
        <v/>
      </c>
    </row>
    <row r="463" ht="22.5" customHeight="1">
      <c r="A463" s="5">
        <f t="shared" si="3"/>
        <v>459</v>
      </c>
      <c r="B463" s="5" t="s">
        <v>1113</v>
      </c>
      <c r="C463" s="5" t="s">
        <v>14</v>
      </c>
      <c r="D463" s="6" t="str">
        <f>IFERROR(__xludf.DUMMYFUNCTION("INDEX(IMPORTDATA(""https://raw.githubusercontent.com/lukes/ISO-3166-Countries-with-Regional-Codes/master/all/all.csv""), MATCH(C463, INDEX(IMPORTDATA(""https://raw.githubusercontent.com/lukes/ISO-3166-Countries-with-Regional-Codes/master/all/all.csv""), 0"&amp;", 1), 0), 2)"),"NP")</f>
        <v>NP</v>
      </c>
      <c r="E463" s="25" t="s">
        <v>1114</v>
      </c>
      <c r="F463" s="5" t="s">
        <v>1115</v>
      </c>
      <c r="I463" s="5" t="s">
        <v>156</v>
      </c>
      <c r="J463" s="26" t="s">
        <v>42</v>
      </c>
      <c r="K463" s="27">
        <v>604.0</v>
      </c>
      <c r="L463" s="10" t="s">
        <v>35</v>
      </c>
      <c r="M463" s="6" t="str">
        <f t="shared" si="7"/>
        <v/>
      </c>
    </row>
    <row r="464" ht="22.5" customHeight="1">
      <c r="A464" s="5">
        <f t="shared" si="3"/>
        <v>460</v>
      </c>
      <c r="B464" s="5" t="s">
        <v>1116</v>
      </c>
      <c r="C464" s="5" t="s">
        <v>904</v>
      </c>
      <c r="D464" s="6" t="str">
        <f>IFERROR(__xludf.DUMMYFUNCTION("INDEX(IMPORTDATA(""https://raw.githubusercontent.com/lukes/ISO-3166-Countries-with-Regional-Codes/master/all/all.csv""), MATCH(C464, INDEX(IMPORTDATA(""https://raw.githubusercontent.com/lukes/ISO-3166-Countries-with-Regional-Codes/master/all/all.csv""), 0"&amp;", 1), 0), 2)"),"BD")</f>
        <v>BD</v>
      </c>
      <c r="E464" s="5" t="s">
        <v>1117</v>
      </c>
      <c r="F464" s="5" t="s">
        <v>1118</v>
      </c>
      <c r="G464" s="5">
        <v>7199741.0</v>
      </c>
      <c r="H464" s="12">
        <v>35036.0</v>
      </c>
      <c r="I464" s="5" t="s">
        <v>156</v>
      </c>
      <c r="J464" s="26" t="s">
        <v>42</v>
      </c>
      <c r="K464" s="27">
        <v>605.0</v>
      </c>
      <c r="L464" s="10" t="s">
        <v>18</v>
      </c>
      <c r="M464" s="6" t="str">
        <f t="shared" si="7"/>
        <v/>
      </c>
    </row>
    <row r="465" ht="22.5" customHeight="1">
      <c r="A465" s="5">
        <f t="shared" si="3"/>
        <v>461</v>
      </c>
      <c r="B465" s="5" t="s">
        <v>1119</v>
      </c>
      <c r="C465" s="5" t="s">
        <v>904</v>
      </c>
      <c r="D465" s="6" t="str">
        <f>IFERROR(__xludf.DUMMYFUNCTION("INDEX(IMPORTDATA(""https://raw.githubusercontent.com/lukes/ISO-3166-Countries-with-Regional-Codes/master/all/all.csv""), MATCH(C465, INDEX(IMPORTDATA(""https://raw.githubusercontent.com/lukes/ISO-3166-Countries-with-Regional-Codes/master/all/all.csv""), 0"&amp;", 1), 0), 2)"),"BD")</f>
        <v>BD</v>
      </c>
      <c r="E465" s="5" t="s">
        <v>1120</v>
      </c>
      <c r="F465" s="5" t="s">
        <v>1121</v>
      </c>
      <c r="G465" s="5" t="s">
        <v>1122</v>
      </c>
      <c r="H465" s="12">
        <v>33976.0</v>
      </c>
      <c r="I465" s="5" t="s">
        <v>156</v>
      </c>
      <c r="J465" s="26" t="s">
        <v>42</v>
      </c>
      <c r="K465" s="27">
        <v>606.0</v>
      </c>
      <c r="L465" s="10" t="s">
        <v>18</v>
      </c>
      <c r="M465" s="6" t="str">
        <f t="shared" si="7"/>
        <v/>
      </c>
    </row>
    <row r="466" ht="22.5" customHeight="1">
      <c r="A466" s="5">
        <f t="shared" si="3"/>
        <v>462</v>
      </c>
      <c r="B466" s="5" t="s">
        <v>1123</v>
      </c>
      <c r="C466" s="5" t="s">
        <v>137</v>
      </c>
      <c r="D466" s="6" t="str">
        <f>IFERROR(__xludf.DUMMYFUNCTION("INDEX(IMPORTDATA(""https://raw.githubusercontent.com/lukes/ISO-3166-Countries-with-Regional-Codes/master/all/all.csv""), MATCH(C466, INDEX(IMPORTDATA(""https://raw.githubusercontent.com/lukes/ISO-3166-Countries-with-Regional-Codes/master/all/all.csv""), 0"&amp;", 1), 0), 2)"),"FR")</f>
        <v>FR</v>
      </c>
      <c r="E466" s="5" t="s">
        <v>1124</v>
      </c>
      <c r="F466" s="5" t="s">
        <v>1125</v>
      </c>
      <c r="G466" s="5">
        <v>1750915.0</v>
      </c>
      <c r="H466" s="7">
        <v>26176.0</v>
      </c>
      <c r="I466" s="5" t="s">
        <v>156</v>
      </c>
      <c r="J466" s="26" t="s">
        <v>42</v>
      </c>
      <c r="K466" s="27">
        <v>607.0</v>
      </c>
      <c r="L466" s="10" t="s">
        <v>35</v>
      </c>
      <c r="M466" s="6" t="str">
        <f t="shared" si="7"/>
        <v/>
      </c>
    </row>
    <row r="467" ht="22.5" customHeight="1">
      <c r="A467" s="5">
        <f t="shared" si="3"/>
        <v>463</v>
      </c>
      <c r="B467" s="5" t="s">
        <v>1126</v>
      </c>
      <c r="C467" s="5" t="s">
        <v>14</v>
      </c>
      <c r="D467" s="5" t="s">
        <v>409</v>
      </c>
      <c r="E467" s="5">
        <v>9.85103553E9</v>
      </c>
      <c r="F467" s="5" t="s">
        <v>1127</v>
      </c>
      <c r="H467" s="7">
        <v>39322.0</v>
      </c>
      <c r="I467" s="5" t="s">
        <v>156</v>
      </c>
      <c r="J467" s="26" t="s">
        <v>42</v>
      </c>
      <c r="K467" s="27">
        <v>608.0</v>
      </c>
      <c r="L467" s="15" t="s">
        <v>18</v>
      </c>
      <c r="M467" s="6" t="str">
        <f t="shared" si="7"/>
        <v/>
      </c>
    </row>
    <row r="468" ht="22.5" customHeight="1">
      <c r="A468" s="5">
        <f t="shared" si="3"/>
        <v>464</v>
      </c>
      <c r="B468" s="5" t="s">
        <v>1128</v>
      </c>
      <c r="C468" s="5" t="s">
        <v>140</v>
      </c>
      <c r="D468" s="6" t="str">
        <f>IFERROR(__xludf.DUMMYFUNCTION("INDEX(IMPORTDATA(""https://raw.githubusercontent.com/lukes/ISO-3166-Countries-with-Regional-Codes/master/all/all.csv""), MATCH(C468, INDEX(IMPORTDATA(""https://raw.githubusercontent.com/lukes/ISO-3166-Countries-with-Regional-Codes/master/all/all.csv""), 0"&amp;", 1), 0), 2)"),"DE")</f>
        <v>DE</v>
      </c>
      <c r="E468" s="5">
        <v>9.765000903E9</v>
      </c>
      <c r="F468" s="5" t="s">
        <v>1129</v>
      </c>
      <c r="G468" s="5">
        <v>7135974.0</v>
      </c>
      <c r="H468" s="7">
        <v>39113.0</v>
      </c>
      <c r="I468" s="5" t="s">
        <v>156</v>
      </c>
      <c r="J468" s="26" t="s">
        <v>42</v>
      </c>
      <c r="K468" s="27">
        <v>609.0</v>
      </c>
      <c r="L468" s="10" t="s">
        <v>18</v>
      </c>
      <c r="M468" s="6" t="str">
        <f t="shared" si="7"/>
        <v/>
      </c>
    </row>
    <row r="469" ht="22.5" customHeight="1">
      <c r="A469" s="5">
        <f t="shared" si="3"/>
        <v>465</v>
      </c>
      <c r="B469" s="5" t="s">
        <v>1130</v>
      </c>
      <c r="C469" s="5" t="s">
        <v>366</v>
      </c>
      <c r="D469" s="6" t="str">
        <f>IFERROR(__xludf.DUMMYFUNCTION("INDEX(IMPORTDATA(""https://raw.githubusercontent.com/lukes/ISO-3166-Countries-with-Regional-Codes/master/all/all.csv""), MATCH(C469, INDEX(IMPORTDATA(""https://raw.githubusercontent.com/lukes/ISO-3166-Countries-with-Regional-Codes/master/all/all.csv""), 0"&amp;", 1), 0), 2)"),"IN")</f>
        <v>IN</v>
      </c>
      <c r="E469" s="5" t="s">
        <v>1131</v>
      </c>
      <c r="F469" s="5" t="s">
        <v>1132</v>
      </c>
      <c r="H469" s="7">
        <v>37711.0</v>
      </c>
      <c r="I469" s="5" t="s">
        <v>156</v>
      </c>
      <c r="J469" s="26" t="s">
        <v>42</v>
      </c>
      <c r="K469" s="27">
        <v>610.0</v>
      </c>
      <c r="L469" s="10" t="s">
        <v>29</v>
      </c>
      <c r="M469" s="6" t="str">
        <f t="shared" si="7"/>
        <v/>
      </c>
    </row>
    <row r="470" ht="22.5" customHeight="1">
      <c r="A470" s="5">
        <f t="shared" si="3"/>
        <v>466</v>
      </c>
      <c r="B470" s="5" t="s">
        <v>1133</v>
      </c>
      <c r="C470" s="5" t="s">
        <v>366</v>
      </c>
      <c r="D470" s="6" t="str">
        <f>IFERROR(__xludf.DUMMYFUNCTION("INDEX(IMPORTDATA(""https://raw.githubusercontent.com/lukes/ISO-3166-Countries-with-Regional-Codes/master/all/all.csv""), MATCH(C470, INDEX(IMPORTDATA(""https://raw.githubusercontent.com/lukes/ISO-3166-Countries-with-Regional-Codes/master/all/all.csv""), 0"&amp;", 1), 0), 2)"),"IN")</f>
        <v>IN</v>
      </c>
      <c r="E470" s="5" t="s">
        <v>1134</v>
      </c>
      <c r="F470" s="5" t="s">
        <v>1135</v>
      </c>
      <c r="H470" s="7">
        <v>30467.0</v>
      </c>
      <c r="I470" s="5" t="s">
        <v>156</v>
      </c>
      <c r="J470" s="26" t="s">
        <v>42</v>
      </c>
      <c r="K470" s="27">
        <v>611.0</v>
      </c>
      <c r="L470" s="10" t="s">
        <v>35</v>
      </c>
      <c r="M470" s="6" t="str">
        <f t="shared" si="7"/>
        <v/>
      </c>
    </row>
    <row r="471" ht="22.5" customHeight="1">
      <c r="A471" s="5">
        <f t="shared" si="3"/>
        <v>467</v>
      </c>
      <c r="B471" s="5" t="s">
        <v>1136</v>
      </c>
      <c r="C471" s="5" t="s">
        <v>366</v>
      </c>
      <c r="D471" s="6" t="str">
        <f>IFERROR(__xludf.DUMMYFUNCTION("INDEX(IMPORTDATA(""https://raw.githubusercontent.com/lukes/ISO-3166-Countries-with-Regional-Codes/master/all/all.csv""), MATCH(C471, INDEX(IMPORTDATA(""https://raw.githubusercontent.com/lukes/ISO-3166-Countries-with-Regional-Codes/master/all/all.csv""), 0"&amp;", 1), 0), 2)"),"IN")</f>
        <v>IN</v>
      </c>
      <c r="E471" s="5" t="s">
        <v>1137</v>
      </c>
      <c r="F471" s="5" t="s">
        <v>1138</v>
      </c>
      <c r="G471" s="5">
        <v>4687666.0</v>
      </c>
      <c r="H471" s="7">
        <v>33656.0</v>
      </c>
      <c r="I471" s="5" t="s">
        <v>156</v>
      </c>
      <c r="J471" s="26" t="s">
        <v>42</v>
      </c>
      <c r="K471" s="27">
        <v>612.0</v>
      </c>
      <c r="L471" s="10" t="s">
        <v>18</v>
      </c>
      <c r="M471" s="6" t="str">
        <f t="shared" si="7"/>
        <v/>
      </c>
    </row>
    <row r="472" ht="22.5" customHeight="1">
      <c r="A472" s="5">
        <f t="shared" si="3"/>
        <v>468</v>
      </c>
      <c r="B472" s="5" t="s">
        <v>1139</v>
      </c>
      <c r="C472" s="5" t="s">
        <v>366</v>
      </c>
      <c r="D472" s="6" t="str">
        <f>IFERROR(__xludf.DUMMYFUNCTION("INDEX(IMPORTDATA(""https://raw.githubusercontent.com/lukes/ISO-3166-Countries-with-Regional-Codes/master/all/all.csv""), MATCH(C472, INDEX(IMPORTDATA(""https://raw.githubusercontent.com/lukes/ISO-3166-Countries-with-Regional-Codes/master/all/all.csv""), 0"&amp;", 1), 0), 2)"),"IN")</f>
        <v>IN</v>
      </c>
      <c r="E472" s="5" t="s">
        <v>1140</v>
      </c>
      <c r="F472" s="5" t="s">
        <v>1141</v>
      </c>
      <c r="G472" s="5">
        <v>6951190.0</v>
      </c>
      <c r="H472" s="7">
        <v>34651.0</v>
      </c>
      <c r="I472" s="5" t="s">
        <v>156</v>
      </c>
      <c r="J472" s="26" t="s">
        <v>42</v>
      </c>
      <c r="K472" s="27">
        <v>613.0</v>
      </c>
      <c r="L472" s="10" t="s">
        <v>29</v>
      </c>
      <c r="M472" s="6" t="str">
        <f t="shared" si="7"/>
        <v/>
      </c>
    </row>
    <row r="473" ht="22.5" customHeight="1">
      <c r="A473" s="5">
        <f t="shared" si="3"/>
        <v>469</v>
      </c>
      <c r="B473" s="5" t="s">
        <v>1142</v>
      </c>
      <c r="C473" s="5" t="s">
        <v>366</v>
      </c>
      <c r="D473" s="6" t="str">
        <f>IFERROR(__xludf.DUMMYFUNCTION("INDEX(IMPORTDATA(""https://raw.githubusercontent.com/lukes/ISO-3166-Countries-with-Regional-Codes/master/all/all.csv""), MATCH(C473, INDEX(IMPORTDATA(""https://raw.githubusercontent.com/lukes/ISO-3166-Countries-with-Regional-Codes/master/all/all.csv""), 0"&amp;", 1), 0), 2)"),"IN")</f>
        <v>IN</v>
      </c>
      <c r="E473" s="5" t="s">
        <v>1143</v>
      </c>
      <c r="F473" s="5" t="s">
        <v>1144</v>
      </c>
      <c r="G473" s="5">
        <v>4362352.0</v>
      </c>
      <c r="H473" s="7">
        <v>27694.0</v>
      </c>
      <c r="I473" s="5" t="s">
        <v>156</v>
      </c>
      <c r="J473" s="26" t="s">
        <v>42</v>
      </c>
      <c r="K473" s="27">
        <v>614.0</v>
      </c>
      <c r="L473" s="10" t="s">
        <v>35</v>
      </c>
      <c r="M473" s="6" t="str">
        <f t="shared" si="7"/>
        <v/>
      </c>
    </row>
    <row r="474" ht="22.5" customHeight="1">
      <c r="A474" s="5">
        <f t="shared" si="3"/>
        <v>470</v>
      </c>
      <c r="B474" s="5" t="s">
        <v>1145</v>
      </c>
      <c r="C474" s="5" t="s">
        <v>938</v>
      </c>
      <c r="D474" s="6" t="str">
        <f>IFERROR(__xludf.DUMMYFUNCTION("INDEX(IMPORTDATA(""https://raw.githubusercontent.com/lukes/ISO-3166-Countries-with-Regional-Codes/master/all/all.csv""), MATCH(C474, INDEX(IMPORTDATA(""https://raw.githubusercontent.com/lukes/ISO-3166-Countries-with-Regional-Codes/master/all/all.csv""), 0"&amp;", 1), 0), 2)"),"JP")</f>
        <v>JP</v>
      </c>
      <c r="E474" s="5" t="s">
        <v>1146</v>
      </c>
      <c r="F474" s="5" t="s">
        <v>1147</v>
      </c>
      <c r="G474" s="5">
        <v>5608961.0</v>
      </c>
      <c r="H474" s="7">
        <v>34962.0</v>
      </c>
      <c r="I474" s="5" t="s">
        <v>156</v>
      </c>
      <c r="J474" s="26" t="s">
        <v>42</v>
      </c>
      <c r="K474" s="27">
        <v>615.0</v>
      </c>
      <c r="L474" s="10" t="s">
        <v>35</v>
      </c>
      <c r="M474" s="6" t="str">
        <f t="shared" si="7"/>
        <v/>
      </c>
    </row>
    <row r="475" ht="22.5" customHeight="1">
      <c r="A475" s="5">
        <f t="shared" si="3"/>
        <v>471</v>
      </c>
      <c r="B475" s="5" t="s">
        <v>1148</v>
      </c>
      <c r="C475" s="5" t="s">
        <v>938</v>
      </c>
      <c r="D475" s="6" t="str">
        <f>IFERROR(__xludf.DUMMYFUNCTION("INDEX(IMPORTDATA(""https://raw.githubusercontent.com/lukes/ISO-3166-Countries-with-Regional-Codes/master/all/all.csv""), MATCH(C475, INDEX(IMPORTDATA(""https://raw.githubusercontent.com/lukes/ISO-3166-Countries-with-Regional-Codes/master/all/all.csv""), 0"&amp;", 1), 0), 2)"),"JP")</f>
        <v>JP</v>
      </c>
      <c r="E475" s="5" t="s">
        <v>1149</v>
      </c>
      <c r="F475" s="5" t="s">
        <v>503</v>
      </c>
      <c r="G475" s="5">
        <v>2591099.0</v>
      </c>
      <c r="H475" s="7">
        <v>30183.0</v>
      </c>
      <c r="I475" s="5" t="s">
        <v>156</v>
      </c>
      <c r="J475" s="26" t="s">
        <v>42</v>
      </c>
      <c r="K475" s="27">
        <v>616.0</v>
      </c>
      <c r="L475" s="10" t="s">
        <v>29</v>
      </c>
      <c r="M475" s="6" t="str">
        <f t="shared" si="7"/>
        <v/>
      </c>
    </row>
    <row r="476" ht="22.5" customHeight="1">
      <c r="A476" s="5">
        <f t="shared" si="3"/>
        <v>472</v>
      </c>
      <c r="B476" s="5" t="s">
        <v>1150</v>
      </c>
      <c r="C476" s="5" t="s">
        <v>1151</v>
      </c>
      <c r="D476" s="6" t="str">
        <f>IFERROR(__xludf.DUMMYFUNCTION("INDEX(IMPORTDATA(""https://raw.githubusercontent.com/lukes/ISO-3166-Countries-with-Regional-Codes/master/all/all.csv""), MATCH(C476, INDEX(IMPORTDATA(""https://raw.githubusercontent.com/lukes/ISO-3166-Countries-with-Regional-Codes/master/all/all.csv""), 0"&amp;", 1), 0), 2)"),"LV")</f>
        <v>LV</v>
      </c>
      <c r="E476" s="5" t="s">
        <v>1152</v>
      </c>
      <c r="F476" s="5" t="s">
        <v>1153</v>
      </c>
      <c r="H476" s="7">
        <v>30190.0</v>
      </c>
      <c r="I476" s="5" t="s">
        <v>156</v>
      </c>
      <c r="J476" s="26" t="s">
        <v>42</v>
      </c>
      <c r="K476" s="27">
        <v>617.0</v>
      </c>
      <c r="L476" s="10" t="s">
        <v>35</v>
      </c>
      <c r="M476" s="6" t="str">
        <f t="shared" si="7"/>
        <v/>
      </c>
    </row>
    <row r="477" ht="22.5" customHeight="1">
      <c r="A477" s="5">
        <f t="shared" si="3"/>
        <v>473</v>
      </c>
      <c r="B477" s="5" t="s">
        <v>1154</v>
      </c>
      <c r="C477" s="5" t="s">
        <v>1155</v>
      </c>
      <c r="D477" s="6" t="str">
        <f>IFERROR(__xludf.DUMMYFUNCTION("INDEX(IMPORTDATA(""https://raw.githubusercontent.com/lukes/ISO-3166-Countries-with-Regional-Codes/master/all/all.csv""), MATCH(C477, INDEX(IMPORTDATA(""https://raw.githubusercontent.com/lukes/ISO-3166-Countries-with-Regional-Codes/master/all/all.csv""), 0"&amp;", 1), 0), 2)"),"US")</f>
        <v>US</v>
      </c>
      <c r="E477" s="5">
        <v>9.803607349E9</v>
      </c>
      <c r="F477" s="5" t="s">
        <v>1156</v>
      </c>
      <c r="H477" s="7">
        <v>33504.0</v>
      </c>
      <c r="I477" s="5" t="s">
        <v>156</v>
      </c>
      <c r="J477" s="26" t="s">
        <v>42</v>
      </c>
      <c r="K477" s="27">
        <v>618.0</v>
      </c>
      <c r="L477" s="10" t="s">
        <v>89</v>
      </c>
      <c r="M477" s="6" t="str">
        <f t="shared" si="7"/>
        <v/>
      </c>
    </row>
    <row r="478" ht="22.5" customHeight="1">
      <c r="A478" s="5">
        <f t="shared" si="3"/>
        <v>474</v>
      </c>
      <c r="B478" s="14" t="s">
        <v>1157</v>
      </c>
      <c r="C478" s="14" t="s">
        <v>14</v>
      </c>
      <c r="D478" s="6" t="str">
        <f>IFERROR(__xludf.DUMMYFUNCTION("INDEX(IMPORTDATA(""https://raw.githubusercontent.com/lukes/ISO-3166-Countries-with-Regional-Codes/master/all/all.csv""), MATCH(C478, INDEX(IMPORTDATA(""https://raw.githubusercontent.com/lukes/ISO-3166-Countries-with-Regional-Codes/master/all/all.csv""), 0"&amp;", 1), 0), 2)"),"NP")</f>
        <v>NP</v>
      </c>
      <c r="E478" s="5" t="s">
        <v>1114</v>
      </c>
      <c r="F478" s="5" t="s">
        <v>1115</v>
      </c>
      <c r="G478" s="5"/>
      <c r="H478" s="12">
        <v>28976.0</v>
      </c>
      <c r="I478" s="5" t="s">
        <v>156</v>
      </c>
      <c r="J478" s="26" t="s">
        <v>42</v>
      </c>
      <c r="K478" s="27">
        <v>619.0</v>
      </c>
      <c r="L478" s="10" t="s">
        <v>35</v>
      </c>
      <c r="M478" s="6" t="str">
        <f t="shared" si="7"/>
        <v/>
      </c>
    </row>
    <row r="479" ht="22.5" customHeight="1">
      <c r="A479" s="5">
        <f t="shared" si="3"/>
        <v>475</v>
      </c>
      <c r="B479" s="21" t="s">
        <v>1158</v>
      </c>
      <c r="C479" s="21" t="s">
        <v>14</v>
      </c>
      <c r="D479" s="6" t="str">
        <f>IFERROR(__xludf.DUMMYFUNCTION("INDEX(IMPORTDATA(""https://raw.githubusercontent.com/lukes/ISO-3166-Countries-with-Regional-Codes/master/all/all.csv""), MATCH(C479, INDEX(IMPORTDATA(""https://raw.githubusercontent.com/lukes/ISO-3166-Countries-with-Regional-Codes/master/all/all.csv""), 0"&amp;", 1), 0), 2)"),"NP")</f>
        <v>NP</v>
      </c>
      <c r="E479" s="5">
        <v>9.851045745E9</v>
      </c>
      <c r="F479" s="21" t="s">
        <v>1159</v>
      </c>
      <c r="G479" s="21"/>
      <c r="H479" s="22">
        <v>24660.0</v>
      </c>
      <c r="I479" s="21" t="s">
        <v>156</v>
      </c>
      <c r="J479" s="26" t="s">
        <v>42</v>
      </c>
      <c r="K479" s="27">
        <v>620.0</v>
      </c>
      <c r="L479" s="10" t="s">
        <v>18</v>
      </c>
      <c r="M479" s="6" t="str">
        <f t="shared" si="7"/>
        <v/>
      </c>
    </row>
    <row r="480" ht="22.5" customHeight="1">
      <c r="A480" s="5">
        <f t="shared" si="3"/>
        <v>476</v>
      </c>
      <c r="B480" s="21" t="s">
        <v>1160</v>
      </c>
      <c r="C480" s="21" t="s">
        <v>14</v>
      </c>
      <c r="D480" s="6" t="str">
        <f>IFERROR(__xludf.DUMMYFUNCTION("INDEX(IMPORTDATA(""https://raw.githubusercontent.com/lukes/ISO-3166-Countries-with-Regional-Codes/master/all/all.csv""), MATCH(C480, INDEX(IMPORTDATA(""https://raw.githubusercontent.com/lukes/ISO-3166-Countries-with-Regional-Codes/master/all/all.csv""), 0"&amp;", 1), 0), 2)"),"NP")</f>
        <v>NP</v>
      </c>
      <c r="E480" s="5">
        <v>9.743973304E9</v>
      </c>
      <c r="F480" s="21" t="s">
        <v>1161</v>
      </c>
      <c r="G480" s="21"/>
      <c r="H480" s="22">
        <v>40168.0</v>
      </c>
      <c r="I480" s="21" t="s">
        <v>156</v>
      </c>
      <c r="J480" s="26" t="s">
        <v>42</v>
      </c>
      <c r="K480" s="27">
        <v>621.0</v>
      </c>
      <c r="L480" s="10" t="s">
        <v>22</v>
      </c>
      <c r="M480" s="6" t="str">
        <f t="shared" si="7"/>
        <v/>
      </c>
    </row>
    <row r="481" ht="22.5" customHeight="1">
      <c r="A481" s="5">
        <f t="shared" si="3"/>
        <v>477</v>
      </c>
      <c r="B481" s="21" t="s">
        <v>1162</v>
      </c>
      <c r="C481" s="21" t="s">
        <v>366</v>
      </c>
      <c r="D481" s="6" t="str">
        <f>IFERROR(__xludf.DUMMYFUNCTION("INDEX(IMPORTDATA(""https://raw.githubusercontent.com/lukes/ISO-3166-Countries-with-Regional-Codes/master/all/all.csv""), MATCH(C481, INDEX(IMPORTDATA(""https://raw.githubusercontent.com/lukes/ISO-3166-Countries-with-Regional-Codes/master/all/all.csv""), 0"&amp;", 1), 0), 2)"),"IN")</f>
        <v>IN</v>
      </c>
      <c r="E481" s="5">
        <v>7.679409757E9</v>
      </c>
      <c r="F481" s="21" t="s">
        <v>1163</v>
      </c>
      <c r="G481" s="21"/>
      <c r="H481" s="22">
        <v>39039.0</v>
      </c>
      <c r="I481" s="21" t="s">
        <v>156</v>
      </c>
      <c r="J481" s="26" t="s">
        <v>42</v>
      </c>
      <c r="K481" s="27">
        <v>622.0</v>
      </c>
      <c r="L481" s="10" t="s">
        <v>18</v>
      </c>
      <c r="M481" s="6" t="str">
        <f t="shared" si="7"/>
        <v/>
      </c>
    </row>
    <row r="482" ht="22.5" customHeight="1">
      <c r="A482" s="5">
        <f t="shared" si="3"/>
        <v>478</v>
      </c>
      <c r="B482" s="21" t="s">
        <v>1164</v>
      </c>
      <c r="C482" s="21" t="s">
        <v>14</v>
      </c>
      <c r="D482" s="6" t="str">
        <f>IFERROR(__xludf.DUMMYFUNCTION("INDEX(IMPORTDATA(""https://raw.githubusercontent.com/lukes/ISO-3166-Countries-with-Regional-Codes/master/all/all.csv""), MATCH(C482, INDEX(IMPORTDATA(""https://raw.githubusercontent.com/lukes/ISO-3166-Countries-with-Regional-Codes/master/all/all.csv""), 0"&amp;", 1), 0), 2)"),"NP")</f>
        <v>NP</v>
      </c>
      <c r="E482" s="5" t="s">
        <v>1165</v>
      </c>
      <c r="F482" s="21" t="s">
        <v>1166</v>
      </c>
      <c r="G482" s="21">
        <v>6345195.0</v>
      </c>
      <c r="H482" s="23">
        <v>38449.0</v>
      </c>
      <c r="I482" s="21" t="s">
        <v>156</v>
      </c>
      <c r="J482" s="26" t="s">
        <v>42</v>
      </c>
      <c r="K482" s="27">
        <v>623.0</v>
      </c>
      <c r="L482" s="10" t="s">
        <v>18</v>
      </c>
      <c r="M482" s="6" t="str">
        <f t="shared" si="7"/>
        <v/>
      </c>
    </row>
    <row r="483" ht="22.5" customHeight="1">
      <c r="A483" s="5">
        <f t="shared" si="3"/>
        <v>479</v>
      </c>
      <c r="B483" s="5" t="s">
        <v>1167</v>
      </c>
      <c r="C483" s="5" t="s">
        <v>14</v>
      </c>
      <c r="D483" s="6" t="str">
        <f>IFERROR(__xludf.DUMMYFUNCTION("INDEX(IMPORTDATA(""https://raw.githubusercontent.com/lukes/ISO-3166-Countries-with-Regional-Codes/master/all/all.csv""), MATCH(C483, INDEX(IMPORTDATA(""https://raw.githubusercontent.com/lukes/ISO-3166-Countries-with-Regional-Codes/master/all/all.csv""), 0"&amp;", 1), 0), 2)"),"NP")</f>
        <v>NP</v>
      </c>
      <c r="E483" s="5" t="s">
        <v>1168</v>
      </c>
      <c r="F483" s="5" t="s">
        <v>1127</v>
      </c>
      <c r="G483" s="5">
        <v>6293656.0</v>
      </c>
      <c r="H483" s="7">
        <v>29569.0</v>
      </c>
      <c r="I483" s="21" t="s">
        <v>156</v>
      </c>
      <c r="J483" s="26" t="s">
        <v>42</v>
      </c>
      <c r="K483" s="27">
        <v>624.0</v>
      </c>
      <c r="L483" s="15" t="s">
        <v>22</v>
      </c>
      <c r="M483" s="6" t="str">
        <f t="shared" si="7"/>
        <v/>
      </c>
    </row>
    <row r="484" ht="22.5" customHeight="1">
      <c r="A484" s="5">
        <f t="shared" si="3"/>
        <v>480</v>
      </c>
      <c r="B484" s="5" t="s">
        <v>1169</v>
      </c>
      <c r="C484" s="5" t="s">
        <v>14</v>
      </c>
      <c r="D484" s="6" t="str">
        <f>IFERROR(__xludf.DUMMYFUNCTION("INDEX(IMPORTDATA(""https://raw.githubusercontent.com/lukes/ISO-3166-Countries-with-Regional-Codes/master/all/all.csv""), MATCH(C484, INDEX(IMPORTDATA(""https://raw.githubusercontent.com/lukes/ISO-3166-Countries-with-Regional-Codes/master/all/all.csv""), 0"&amp;", 1), 0), 2)"),"NP")</f>
        <v>NP</v>
      </c>
      <c r="E484" s="5" t="s">
        <v>1170</v>
      </c>
      <c r="F484" s="5" t="s">
        <v>1171</v>
      </c>
      <c r="G484" s="5">
        <v>6662553.0</v>
      </c>
      <c r="H484" s="12">
        <v>32518.0</v>
      </c>
      <c r="I484" s="5" t="s">
        <v>156</v>
      </c>
      <c r="J484" s="26" t="s">
        <v>42</v>
      </c>
      <c r="K484" s="27">
        <v>625.0</v>
      </c>
      <c r="L484" s="10" t="s">
        <v>18</v>
      </c>
      <c r="M484" s="6" t="str">
        <f t="shared" si="7"/>
        <v/>
      </c>
    </row>
    <row r="485" ht="22.5" customHeight="1">
      <c r="A485" s="5">
        <f t="shared" si="3"/>
        <v>481</v>
      </c>
      <c r="B485" s="5" t="s">
        <v>1172</v>
      </c>
      <c r="C485" s="5" t="s">
        <v>14</v>
      </c>
      <c r="D485" s="6" t="str">
        <f>IFERROR(__xludf.DUMMYFUNCTION("INDEX(IMPORTDATA(""https://raw.githubusercontent.com/lukes/ISO-3166-Countries-with-Regional-Codes/master/all/all.csv""), MATCH(C485, INDEX(IMPORTDATA(""https://raw.githubusercontent.com/lukes/ISO-3166-Countries-with-Regional-Codes/master/all/all.csv""), 0"&amp;", 1), 0), 2)"),"NP")</f>
        <v>NP</v>
      </c>
      <c r="E485" s="5">
        <v>9.851140894E9</v>
      </c>
      <c r="F485" s="5" t="s">
        <v>1173</v>
      </c>
      <c r="H485" s="7">
        <v>32931.0</v>
      </c>
      <c r="I485" s="5" t="s">
        <v>156</v>
      </c>
      <c r="J485" s="18" t="s">
        <v>42</v>
      </c>
      <c r="K485" s="27">
        <v>626.0</v>
      </c>
      <c r="L485" s="10" t="s">
        <v>18</v>
      </c>
      <c r="M485" s="6" t="str">
        <f t="shared" si="7"/>
        <v/>
      </c>
    </row>
    <row r="486" ht="22.5" customHeight="1">
      <c r="A486" s="5">
        <f t="shared" si="3"/>
        <v>482</v>
      </c>
      <c r="B486" s="5" t="s">
        <v>1174</v>
      </c>
      <c r="C486" s="5" t="s">
        <v>14</v>
      </c>
      <c r="D486" s="6" t="str">
        <f>IFERROR(__xludf.DUMMYFUNCTION("INDEX(IMPORTDATA(""https://raw.githubusercontent.com/lukes/ISO-3166-Countries-with-Regional-Codes/master/all/all.csv""), MATCH(C486, INDEX(IMPORTDATA(""https://raw.githubusercontent.com/lukes/ISO-3166-Countries-with-Regional-Codes/master/all/all.csv""), 0"&amp;", 1), 0), 2)"),"NP")</f>
        <v>NP</v>
      </c>
      <c r="E486" s="5">
        <v>9.76234424E9</v>
      </c>
      <c r="F486" s="5" t="s">
        <v>1175</v>
      </c>
      <c r="G486" s="5">
        <v>4792544.0</v>
      </c>
      <c r="H486" s="12">
        <v>31658.0</v>
      </c>
      <c r="I486" s="5" t="s">
        <v>156</v>
      </c>
      <c r="J486" s="26" t="s">
        <v>42</v>
      </c>
      <c r="K486" s="27">
        <v>627.0</v>
      </c>
      <c r="L486" s="10" t="s">
        <v>35</v>
      </c>
      <c r="M486" s="6" t="str">
        <f t="shared" si="7"/>
        <v/>
      </c>
    </row>
    <row r="487" ht="22.5" customHeight="1">
      <c r="A487" s="5">
        <f t="shared" si="3"/>
        <v>483</v>
      </c>
      <c r="B487" s="5" t="s">
        <v>1176</v>
      </c>
      <c r="C487" s="5" t="s">
        <v>14</v>
      </c>
      <c r="D487" s="6" t="str">
        <f>IFERROR(__xludf.DUMMYFUNCTION("INDEX(IMPORTDATA(""https://raw.githubusercontent.com/lukes/ISO-3166-Countries-with-Regional-Codes/master/all/all.csv""), MATCH(C487, INDEX(IMPORTDATA(""https://raw.githubusercontent.com/lukes/ISO-3166-Countries-with-Regional-Codes/master/all/all.csv""), 0"&amp;", 1), 0), 2)"),"NP")</f>
        <v>NP</v>
      </c>
      <c r="E487" s="5">
        <v>9.764266193E9</v>
      </c>
      <c r="F487" s="5" t="s">
        <v>1177</v>
      </c>
      <c r="H487" s="7">
        <v>37697.0</v>
      </c>
      <c r="I487" s="5" t="s">
        <v>16</v>
      </c>
      <c r="J487" s="26" t="s">
        <v>42</v>
      </c>
      <c r="K487" s="27">
        <v>628.0</v>
      </c>
      <c r="L487" s="10" t="s">
        <v>18</v>
      </c>
      <c r="M487" s="6" t="str">
        <f t="shared" si="7"/>
        <v/>
      </c>
    </row>
    <row r="488" ht="22.5" customHeight="1">
      <c r="A488" s="5">
        <f t="shared" si="3"/>
        <v>484</v>
      </c>
      <c r="B488" s="5" t="s">
        <v>1178</v>
      </c>
      <c r="C488" s="5" t="s">
        <v>14</v>
      </c>
      <c r="D488" s="6" t="str">
        <f>IFERROR(__xludf.DUMMYFUNCTION("INDEX(IMPORTDATA(""https://raw.githubusercontent.com/lukes/ISO-3166-Countries-with-Regional-Codes/master/all/all.csv""), MATCH(C488, INDEX(IMPORTDATA(""https://raw.githubusercontent.com/lukes/ISO-3166-Countries-with-Regional-Codes/master/all/all.csv""), 0"&amp;", 1), 0), 2)"),"NP")</f>
        <v>NP</v>
      </c>
      <c r="E488" s="5">
        <v>9.84044993E9</v>
      </c>
      <c r="F488" s="5" t="s">
        <v>1179</v>
      </c>
      <c r="G488" s="5">
        <v>6933093.0</v>
      </c>
      <c r="H488" s="12">
        <v>36163.0</v>
      </c>
      <c r="I488" s="5" t="s">
        <v>16</v>
      </c>
      <c r="J488" s="26" t="s">
        <v>42</v>
      </c>
      <c r="K488" s="27">
        <v>629.0</v>
      </c>
      <c r="L488" s="10" t="s">
        <v>18</v>
      </c>
      <c r="M488" s="6" t="str">
        <f t="shared" si="7"/>
        <v/>
      </c>
    </row>
    <row r="489" ht="22.5" customHeight="1">
      <c r="A489" s="5">
        <f t="shared" si="3"/>
        <v>485</v>
      </c>
      <c r="B489" s="5" t="s">
        <v>1180</v>
      </c>
      <c r="C489" s="5" t="s">
        <v>14</v>
      </c>
      <c r="D489" s="6" t="str">
        <f>IFERROR(__xludf.DUMMYFUNCTION("INDEX(IMPORTDATA(""https://raw.githubusercontent.com/lukes/ISO-3166-Countries-with-Regional-Codes/master/all/all.csv""), MATCH(C489, INDEX(IMPORTDATA(""https://raw.githubusercontent.com/lukes/ISO-3166-Countries-with-Regional-Codes/master/all/all.csv""), 0"&amp;", 1), 0), 2)"),"NP")</f>
        <v>NP</v>
      </c>
      <c r="E489" s="5" t="s">
        <v>1181</v>
      </c>
      <c r="F489" s="5" t="s">
        <v>1182</v>
      </c>
      <c r="H489" s="7">
        <v>36970.0</v>
      </c>
      <c r="I489" s="5" t="s">
        <v>16</v>
      </c>
      <c r="J489" s="26" t="s">
        <v>42</v>
      </c>
      <c r="K489" s="27">
        <v>630.0</v>
      </c>
      <c r="L489" s="10" t="s">
        <v>29</v>
      </c>
      <c r="M489" s="6" t="str">
        <f t="shared" si="7"/>
        <v/>
      </c>
    </row>
    <row r="490" ht="22.5" customHeight="1">
      <c r="A490" s="5">
        <f t="shared" si="3"/>
        <v>486</v>
      </c>
      <c r="B490" s="5" t="s">
        <v>1183</v>
      </c>
      <c r="C490" s="5" t="s">
        <v>14</v>
      </c>
      <c r="D490" s="6" t="str">
        <f>IFERROR(__xludf.DUMMYFUNCTION("INDEX(IMPORTDATA(""https://raw.githubusercontent.com/lukes/ISO-3166-Countries-with-Regional-Codes/master/all/all.csv""), MATCH(C490, INDEX(IMPORTDATA(""https://raw.githubusercontent.com/lukes/ISO-3166-Countries-with-Regional-Codes/master/all/all.csv""), 0"&amp;", 1), 0), 2)"),"NP")</f>
        <v>NP</v>
      </c>
      <c r="E490" s="5" t="s">
        <v>1184</v>
      </c>
      <c r="F490" s="5" t="s">
        <v>1185</v>
      </c>
      <c r="H490" s="7">
        <v>36275.0</v>
      </c>
      <c r="I490" s="5" t="s">
        <v>16</v>
      </c>
      <c r="J490" s="26" t="s">
        <v>42</v>
      </c>
      <c r="K490" s="27">
        <v>631.0</v>
      </c>
      <c r="L490" s="10" t="s">
        <v>29</v>
      </c>
      <c r="M490" s="6" t="str">
        <f t="shared" si="7"/>
        <v/>
      </c>
    </row>
    <row r="491" ht="22.5" customHeight="1">
      <c r="A491" s="5">
        <f t="shared" si="3"/>
        <v>487</v>
      </c>
      <c r="B491" s="5" t="s">
        <v>1186</v>
      </c>
      <c r="C491" s="5" t="s">
        <v>14</v>
      </c>
      <c r="D491" s="6" t="str">
        <f>IFERROR(__xludf.DUMMYFUNCTION("INDEX(IMPORTDATA(""https://raw.githubusercontent.com/lukes/ISO-3166-Countries-with-Regional-Codes/master/all/all.csv""), MATCH(C491, INDEX(IMPORTDATA(""https://raw.githubusercontent.com/lukes/ISO-3166-Countries-with-Regional-Codes/master/all/all.csv""), 0"&amp;", 1), 0), 2)"),"NP")</f>
        <v>NP</v>
      </c>
      <c r="E491" s="5">
        <v>9.766211599E9</v>
      </c>
      <c r="F491" s="5" t="s">
        <v>1187</v>
      </c>
      <c r="H491" s="7">
        <v>39232.0</v>
      </c>
      <c r="I491" s="5" t="s">
        <v>16</v>
      </c>
      <c r="J491" s="26" t="s">
        <v>42</v>
      </c>
      <c r="K491" s="27">
        <v>632.0</v>
      </c>
      <c r="L491" s="10" t="s">
        <v>18</v>
      </c>
      <c r="M491" s="6" t="str">
        <f t="shared" si="7"/>
        <v/>
      </c>
    </row>
    <row r="492" ht="22.5" customHeight="1">
      <c r="A492" s="5">
        <f t="shared" si="3"/>
        <v>488</v>
      </c>
      <c r="B492" s="5" t="s">
        <v>1188</v>
      </c>
      <c r="C492" s="5" t="s">
        <v>14</v>
      </c>
      <c r="D492" s="6" t="str">
        <f>IFERROR(__xludf.DUMMYFUNCTION("INDEX(IMPORTDATA(""https://raw.githubusercontent.com/lukes/ISO-3166-Countries-with-Regional-Codes/master/all/all.csv""), MATCH(C492, INDEX(IMPORTDATA(""https://raw.githubusercontent.com/lukes/ISO-3166-Countries-with-Regional-Codes/master/all/all.csv""), 0"&amp;", 1), 0), 2)"),"NP")</f>
        <v>NP</v>
      </c>
      <c r="E492" s="5">
        <v>9.813332585E9</v>
      </c>
      <c r="F492" s="5" t="s">
        <v>1189</v>
      </c>
      <c r="G492" s="5">
        <v>7172676.0</v>
      </c>
      <c r="H492" s="7">
        <v>36737.0</v>
      </c>
      <c r="I492" s="5" t="s">
        <v>16</v>
      </c>
      <c r="J492" s="26" t="s">
        <v>42</v>
      </c>
      <c r="K492" s="27">
        <v>633.0</v>
      </c>
      <c r="L492" s="10" t="s">
        <v>18</v>
      </c>
      <c r="M492" s="6" t="str">
        <f t="shared" si="7"/>
        <v/>
      </c>
    </row>
    <row r="493" ht="22.5" customHeight="1">
      <c r="A493" s="5">
        <f t="shared" si="3"/>
        <v>489</v>
      </c>
      <c r="B493" s="5" t="s">
        <v>1190</v>
      </c>
      <c r="C493" s="5" t="s">
        <v>14</v>
      </c>
      <c r="D493" s="6" t="str">
        <f>IFERROR(__xludf.DUMMYFUNCTION("INDEX(IMPORTDATA(""https://raw.githubusercontent.com/lukes/ISO-3166-Countries-with-Regional-Codes/master/all/all.csv""), MATCH(C493, INDEX(IMPORTDATA(""https://raw.githubusercontent.com/lukes/ISO-3166-Countries-with-Regional-Codes/master/all/all.csv""), 0"&amp;", 1), 0), 2)"),"NP")</f>
        <v>NP</v>
      </c>
      <c r="E493" s="5">
        <v>9.803036481E9</v>
      </c>
      <c r="F493" s="5" t="s">
        <v>1191</v>
      </c>
      <c r="G493" s="5">
        <v>6699141.0</v>
      </c>
      <c r="H493" s="12">
        <v>37166.0</v>
      </c>
      <c r="I493" s="5" t="s">
        <v>16</v>
      </c>
      <c r="J493" s="26" t="s">
        <v>42</v>
      </c>
      <c r="K493" s="27">
        <v>634.0</v>
      </c>
      <c r="L493" s="10" t="s">
        <v>29</v>
      </c>
      <c r="M493" s="6" t="str">
        <f t="shared" si="7"/>
        <v/>
      </c>
    </row>
    <row r="494" ht="22.5" customHeight="1">
      <c r="A494" s="5">
        <f t="shared" si="3"/>
        <v>490</v>
      </c>
      <c r="B494" s="5" t="s">
        <v>1192</v>
      </c>
      <c r="C494" s="5" t="s">
        <v>14</v>
      </c>
      <c r="D494" s="6" t="str">
        <f>IFERROR(__xludf.DUMMYFUNCTION("INDEX(IMPORTDATA(""https://raw.githubusercontent.com/lukes/ISO-3166-Countries-with-Regional-Codes/master/all/all.csv""), MATCH(C494, INDEX(IMPORTDATA(""https://raw.githubusercontent.com/lukes/ISO-3166-Countries-with-Regional-Codes/master/all/all.csv""), 0"&amp;", 1), 0), 2)"),"NP")</f>
        <v>NP</v>
      </c>
      <c r="E494" s="5">
        <v>9.862954553E9</v>
      </c>
      <c r="F494" s="5" t="s">
        <v>1193</v>
      </c>
      <c r="G494" s="5" t="s">
        <v>1194</v>
      </c>
      <c r="H494" s="12">
        <v>36379.0</v>
      </c>
      <c r="I494" s="5" t="s">
        <v>16</v>
      </c>
      <c r="J494" s="26" t="s">
        <v>42</v>
      </c>
      <c r="K494" s="27">
        <v>635.0</v>
      </c>
      <c r="L494" s="10" t="s">
        <v>29</v>
      </c>
      <c r="M494" s="6" t="str">
        <f t="shared" si="7"/>
        <v/>
      </c>
    </row>
    <row r="495" ht="22.5" customHeight="1">
      <c r="A495" s="5">
        <f t="shared" si="3"/>
        <v>491</v>
      </c>
      <c r="B495" s="5" t="s">
        <v>1195</v>
      </c>
      <c r="C495" s="5" t="s">
        <v>151</v>
      </c>
      <c r="D495" s="6" t="str">
        <f>IFERROR(__xludf.DUMMYFUNCTION("INDEX(IMPORTDATA(""https://raw.githubusercontent.com/lukes/ISO-3166-Countries-with-Regional-Codes/master/all/all.csv""), MATCH(C495, INDEX(IMPORTDATA(""https://raw.githubusercontent.com/lukes/ISO-3166-Countries-with-Regional-Codes/master/all/all.csv""), 0"&amp;", 1), 0), 2)"),"US")</f>
        <v>US</v>
      </c>
      <c r="E495" s="5"/>
      <c r="F495" s="5"/>
      <c r="G495" s="5">
        <v>3501145.0</v>
      </c>
      <c r="H495" s="7"/>
      <c r="I495" s="5" t="s">
        <v>16</v>
      </c>
      <c r="J495" s="26" t="s">
        <v>42</v>
      </c>
      <c r="K495" s="27">
        <v>636.0</v>
      </c>
      <c r="L495" s="15" t="s">
        <v>18</v>
      </c>
      <c r="M495" s="6" t="str">
        <f t="shared" si="7"/>
        <v/>
      </c>
    </row>
    <row r="496" ht="22.5" customHeight="1">
      <c r="A496" s="5">
        <f>A494+1</f>
        <v>491</v>
      </c>
      <c r="B496" s="5" t="s">
        <v>1196</v>
      </c>
      <c r="C496" s="5" t="s">
        <v>14</v>
      </c>
      <c r="D496" s="6" t="str">
        <f>IFERROR(__xludf.DUMMYFUNCTION("INDEX(IMPORTDATA(""https://raw.githubusercontent.com/lukes/ISO-3166-Countries-with-Regional-Codes/master/all/all.csv""), MATCH(C496, INDEX(IMPORTDATA(""https://raw.githubusercontent.com/lukes/ISO-3166-Countries-with-Regional-Codes/master/all/all.csv""), 0"&amp;", 1), 0), 2)"),"NP")</f>
        <v>NP</v>
      </c>
      <c r="E496" s="5">
        <v>9.749214274E9</v>
      </c>
      <c r="F496" s="5" t="s">
        <v>1197</v>
      </c>
      <c r="G496" s="5" t="s">
        <v>1198</v>
      </c>
      <c r="H496" s="7">
        <v>38772.0</v>
      </c>
      <c r="I496" s="5" t="s">
        <v>16</v>
      </c>
      <c r="J496" s="28" t="s">
        <v>36</v>
      </c>
      <c r="K496" s="29">
        <v>701.0</v>
      </c>
      <c r="L496" s="10" t="s">
        <v>18</v>
      </c>
      <c r="M496" s="6" t="str">
        <f t="shared" si="7"/>
        <v/>
      </c>
    </row>
    <row r="497" ht="22.5" customHeight="1">
      <c r="A497" s="5">
        <f t="shared" ref="A497:A605" si="8">A496+1</f>
        <v>492</v>
      </c>
      <c r="B497" s="5" t="s">
        <v>1199</v>
      </c>
      <c r="C497" s="5" t="s">
        <v>14</v>
      </c>
      <c r="D497" s="6" t="str">
        <f>IFERROR(__xludf.DUMMYFUNCTION("INDEX(IMPORTDATA(""https://raw.githubusercontent.com/lukes/ISO-3166-Countries-with-Regional-Codes/master/all/all.csv""), MATCH(C497, INDEX(IMPORTDATA(""https://raw.githubusercontent.com/lukes/ISO-3166-Countries-with-Regional-Codes/master/all/all.csv""), 0"&amp;", 1), 0), 2)"),"NP")</f>
        <v>NP</v>
      </c>
      <c r="E497" s="5">
        <v>9.806521867E9</v>
      </c>
      <c r="F497" s="5" t="s">
        <v>1200</v>
      </c>
      <c r="G497" s="5" t="s">
        <v>1199</v>
      </c>
      <c r="H497" s="7">
        <v>31771.0</v>
      </c>
      <c r="I497" s="5" t="s">
        <v>16</v>
      </c>
      <c r="J497" s="28" t="s">
        <v>36</v>
      </c>
      <c r="K497" s="29">
        <v>702.0</v>
      </c>
      <c r="L497" s="10" t="s">
        <v>56</v>
      </c>
      <c r="M497" s="6" t="str">
        <f t="shared" si="7"/>
        <v/>
      </c>
    </row>
    <row r="498" ht="22.5" customHeight="1">
      <c r="A498" s="5">
        <f t="shared" si="8"/>
        <v>493</v>
      </c>
      <c r="B498" s="5" t="s">
        <v>1201</v>
      </c>
      <c r="C498" s="5" t="s">
        <v>1202</v>
      </c>
      <c r="D498" s="6" t="str">
        <f>IFERROR(__xludf.DUMMYFUNCTION("INDEX(IMPORTDATA(""https://raw.githubusercontent.com/lukes/ISO-3166-Countries-with-Regional-Codes/master/all/all.csv""), MATCH(C498, INDEX(IMPORTDATA(""https://raw.githubusercontent.com/lukes/ISO-3166-Countries-with-Regional-Codes/master/all/all.csv""), 0"&amp;", 1), 0), 2)"),"CA")</f>
        <v>CA</v>
      </c>
      <c r="E498" s="5" t="s">
        <v>1203</v>
      </c>
      <c r="F498" s="5" t="s">
        <v>1204</v>
      </c>
      <c r="G498" s="5">
        <v>2205361.0</v>
      </c>
      <c r="H498" s="7">
        <v>29083.0</v>
      </c>
      <c r="I498" s="5" t="s">
        <v>16</v>
      </c>
      <c r="J498" s="28" t="s">
        <v>36</v>
      </c>
      <c r="K498" s="29">
        <v>703.0</v>
      </c>
      <c r="L498" s="10" t="s">
        <v>56</v>
      </c>
      <c r="M498" s="6" t="str">
        <f t="shared" si="7"/>
        <v/>
      </c>
    </row>
    <row r="499" ht="22.5" customHeight="1">
      <c r="A499" s="5">
        <f t="shared" si="8"/>
        <v>494</v>
      </c>
      <c r="B499" s="5" t="s">
        <v>1205</v>
      </c>
      <c r="C499" s="5" t="s">
        <v>1206</v>
      </c>
      <c r="D499" s="6" t="str">
        <f>IFERROR(__xludf.DUMMYFUNCTION("INDEX(IMPORTDATA(""https://raw.githubusercontent.com/lukes/ISO-3166-Countries-with-Regional-Codes/master/all/all.csv""), MATCH(C499, INDEX(IMPORTDATA(""https://raw.githubusercontent.com/lukes/ISO-3166-Countries-with-Regional-Codes/master/all/all.csv""), 0"&amp;", 1), 0), 2)"),"DK")</f>
        <v>DK</v>
      </c>
      <c r="E499" s="5">
        <v>9.85104967E9</v>
      </c>
      <c r="F499" s="5" t="s">
        <v>1207</v>
      </c>
      <c r="G499" s="5">
        <v>2233523.0</v>
      </c>
      <c r="H499" s="7">
        <v>27739.0</v>
      </c>
      <c r="I499" s="5" t="s">
        <v>16</v>
      </c>
      <c r="J499" s="28" t="s">
        <v>36</v>
      </c>
      <c r="K499" s="29">
        <v>704.0</v>
      </c>
      <c r="L499" s="10" t="s">
        <v>35</v>
      </c>
      <c r="M499" s="6" t="str">
        <f t="shared" si="7"/>
        <v/>
      </c>
    </row>
    <row r="500" ht="22.5" customHeight="1">
      <c r="A500" s="5">
        <f t="shared" si="8"/>
        <v>495</v>
      </c>
      <c r="B500" s="5" t="s">
        <v>1208</v>
      </c>
      <c r="C500" s="5" t="s">
        <v>366</v>
      </c>
      <c r="D500" s="6" t="str">
        <f>IFERROR(__xludf.DUMMYFUNCTION("INDEX(IMPORTDATA(""https://raw.githubusercontent.com/lukes/ISO-3166-Countries-with-Regional-Codes/master/all/all.csv""), MATCH(C500, INDEX(IMPORTDATA(""https://raw.githubusercontent.com/lukes/ISO-3166-Countries-with-Regional-Codes/master/all/all.csv""), 0"&amp;", 1), 0), 2)"),"IN")</f>
        <v>IN</v>
      </c>
      <c r="E500" s="5" t="s">
        <v>1209</v>
      </c>
      <c r="F500" s="5" t="s">
        <v>1210</v>
      </c>
      <c r="G500" s="5">
        <v>6079092.0</v>
      </c>
      <c r="H500" s="7">
        <v>35776.0</v>
      </c>
      <c r="I500" s="5" t="s">
        <v>16</v>
      </c>
      <c r="J500" s="28" t="s">
        <v>36</v>
      </c>
      <c r="K500" s="29">
        <v>705.0</v>
      </c>
      <c r="L500" s="10" t="s">
        <v>56</v>
      </c>
      <c r="M500" s="6" t="str">
        <f t="shared" si="7"/>
        <v/>
      </c>
    </row>
    <row r="501" ht="22.5" customHeight="1">
      <c r="A501" s="5">
        <f t="shared" si="8"/>
        <v>496</v>
      </c>
      <c r="B501" s="5" t="s">
        <v>1211</v>
      </c>
      <c r="C501" s="5" t="s">
        <v>938</v>
      </c>
      <c r="D501" s="6" t="str">
        <f>IFERROR(__xludf.DUMMYFUNCTION("INDEX(IMPORTDATA(""https://raw.githubusercontent.com/lukes/ISO-3166-Countries-with-Regional-Codes/master/all/all.csv""), MATCH(C501, INDEX(IMPORTDATA(""https://raw.githubusercontent.com/lukes/ISO-3166-Countries-with-Regional-Codes/master/all/all.csv""), 0"&amp;", 1), 0), 2)"),"JP")</f>
        <v>JP</v>
      </c>
      <c r="E501" s="5" t="s">
        <v>1212</v>
      </c>
      <c r="F501" s="5" t="s">
        <v>1213</v>
      </c>
      <c r="G501" s="5">
        <v>1479805.0</v>
      </c>
      <c r="H501" s="7">
        <v>31684.0</v>
      </c>
      <c r="I501" s="5" t="s">
        <v>16</v>
      </c>
      <c r="J501" s="28" t="s">
        <v>36</v>
      </c>
      <c r="K501" s="29">
        <v>706.0</v>
      </c>
      <c r="L501" s="10" t="s">
        <v>29</v>
      </c>
      <c r="M501" s="6" t="str">
        <f t="shared" si="7"/>
        <v/>
      </c>
    </row>
    <row r="502" ht="22.5" customHeight="1">
      <c r="A502" s="5">
        <f t="shared" si="8"/>
        <v>497</v>
      </c>
      <c r="B502" s="5" t="s">
        <v>1214</v>
      </c>
      <c r="C502" s="5" t="s">
        <v>938</v>
      </c>
      <c r="D502" s="6" t="str">
        <f>IFERROR(__xludf.DUMMYFUNCTION("INDEX(IMPORTDATA(""https://raw.githubusercontent.com/lukes/ISO-3166-Countries-with-Regional-Codes/master/all/all.csv""), MATCH(C502, INDEX(IMPORTDATA(""https://raw.githubusercontent.com/lukes/ISO-3166-Countries-with-Regional-Codes/master/all/all.csv""), 0"&amp;", 1), 0), 2)"),"JP")</f>
        <v>JP</v>
      </c>
      <c r="E502" s="5" t="s">
        <v>1215</v>
      </c>
      <c r="F502" s="5" t="s">
        <v>1216</v>
      </c>
      <c r="G502" s="5">
        <v>402635.0</v>
      </c>
      <c r="H502" s="7">
        <v>28961.0</v>
      </c>
      <c r="I502" s="5" t="s">
        <v>16</v>
      </c>
      <c r="J502" s="28" t="s">
        <v>36</v>
      </c>
      <c r="K502" s="29">
        <v>707.0</v>
      </c>
      <c r="L502" s="10" t="s">
        <v>29</v>
      </c>
      <c r="M502" s="6" t="str">
        <f t="shared" si="7"/>
        <v/>
      </c>
    </row>
    <row r="503" ht="22.5" customHeight="1">
      <c r="A503" s="5">
        <f t="shared" si="8"/>
        <v>498</v>
      </c>
      <c r="B503" s="5" t="s">
        <v>1217</v>
      </c>
      <c r="C503" s="5" t="s">
        <v>942</v>
      </c>
      <c r="D503" s="6" t="str">
        <f>IFERROR(__xludf.DUMMYFUNCTION("INDEX(IMPORTDATA(""https://raw.githubusercontent.com/lukes/ISO-3166-Countries-with-Regional-Codes/master/all/all.csv""), MATCH(C503, INDEX(IMPORTDATA(""https://raw.githubusercontent.com/lukes/ISO-3166-Countries-with-Regional-Codes/master/all/all.csv""), 0"&amp;", 1), 0), 2)"),"NL")</f>
        <v>NL</v>
      </c>
      <c r="E503" s="5">
        <v>9.707473903E9</v>
      </c>
      <c r="F503" s="5" t="s">
        <v>1218</v>
      </c>
      <c r="G503" s="5">
        <v>4246326.0</v>
      </c>
      <c r="H503" s="12">
        <v>34828.0</v>
      </c>
      <c r="I503" s="5" t="s">
        <v>16</v>
      </c>
      <c r="J503" s="28" t="s">
        <v>36</v>
      </c>
      <c r="K503" s="29">
        <v>708.0</v>
      </c>
      <c r="L503" s="10" t="s">
        <v>35</v>
      </c>
      <c r="M503" s="6" t="str">
        <f t="shared" si="7"/>
        <v/>
      </c>
    </row>
    <row r="504" ht="22.5" customHeight="1">
      <c r="A504" s="5">
        <f t="shared" si="8"/>
        <v>499</v>
      </c>
      <c r="B504" s="5" t="s">
        <v>1219</v>
      </c>
      <c r="C504" s="5" t="s">
        <v>147</v>
      </c>
      <c r="D504" s="6" t="str">
        <f>IFERROR(__xludf.DUMMYFUNCTION("INDEX(IMPORTDATA(""https://raw.githubusercontent.com/lukes/ISO-3166-Countries-with-Regional-Codes/master/all/all.csv""), MATCH(C504, INDEX(IMPORTDATA(""https://raw.githubusercontent.com/lukes/ISO-3166-Countries-with-Regional-Codes/master/all/all.csv""), 0"&amp;", 1), 0), 2)"),"GB")</f>
        <v>GB</v>
      </c>
      <c r="E504" s="5">
        <v>9.81828076E9</v>
      </c>
      <c r="F504" s="5" t="s">
        <v>1220</v>
      </c>
      <c r="G504" s="5">
        <v>4475615.0</v>
      </c>
      <c r="H504" s="12">
        <v>28096.0</v>
      </c>
      <c r="I504" s="5" t="s">
        <v>16</v>
      </c>
      <c r="J504" s="28" t="s">
        <v>36</v>
      </c>
      <c r="K504" s="29">
        <v>709.0</v>
      </c>
      <c r="L504" s="10" t="s">
        <v>29</v>
      </c>
      <c r="M504" s="6" t="str">
        <f t="shared" si="7"/>
        <v/>
      </c>
    </row>
    <row r="505" ht="22.5" customHeight="1">
      <c r="A505" s="5">
        <f t="shared" si="8"/>
        <v>500</v>
      </c>
      <c r="B505" s="5" t="s">
        <v>1221</v>
      </c>
      <c r="C505" s="5" t="s">
        <v>151</v>
      </c>
      <c r="D505" s="6" t="str">
        <f>IFERROR(__xludf.DUMMYFUNCTION("INDEX(IMPORTDATA(""https://raw.githubusercontent.com/lukes/ISO-3166-Countries-with-Regional-Codes/master/all/all.csv""), MATCH(C505, INDEX(IMPORTDATA(""https://raw.githubusercontent.com/lukes/ISO-3166-Countries-with-Regional-Codes/master/all/all.csv""), 0"&amp;", 1), 0), 2)"),"US")</f>
        <v>US</v>
      </c>
      <c r="E505" s="5" t="s">
        <v>1222</v>
      </c>
      <c r="F505" s="5" t="s">
        <v>863</v>
      </c>
      <c r="G505" s="5">
        <v>2433989.0</v>
      </c>
      <c r="H505" s="7">
        <v>29111.0</v>
      </c>
      <c r="I505" s="5" t="s">
        <v>16</v>
      </c>
      <c r="J505" s="28" t="s">
        <v>36</v>
      </c>
      <c r="K505" s="29">
        <v>710.0</v>
      </c>
      <c r="L505" s="10" t="s">
        <v>29</v>
      </c>
      <c r="M505" s="6" t="str">
        <f t="shared" si="7"/>
        <v/>
      </c>
    </row>
    <row r="506" ht="22.5" customHeight="1">
      <c r="A506" s="5">
        <f t="shared" si="8"/>
        <v>501</v>
      </c>
      <c r="B506" s="5" t="s">
        <v>407</v>
      </c>
      <c r="C506" s="5" t="s">
        <v>14</v>
      </c>
      <c r="D506" s="6" t="str">
        <f>IFERROR(__xludf.DUMMYFUNCTION("INDEX(IMPORTDATA(""https://raw.githubusercontent.com/lukes/ISO-3166-Countries-with-Regional-Codes/master/all/all.csv""), MATCH(C506, INDEX(IMPORTDATA(""https://raw.githubusercontent.com/lukes/ISO-3166-Countries-with-Regional-Codes/master/all/all.csv""), 0"&amp;", 1), 0), 2)"),"NP")</f>
        <v>NP</v>
      </c>
      <c r="E506" s="5">
        <v>9.851078369E9</v>
      </c>
      <c r="F506" s="5" t="s">
        <v>1223</v>
      </c>
      <c r="G506" s="5">
        <v>3092755.0</v>
      </c>
      <c r="H506" s="12">
        <v>29713.0</v>
      </c>
      <c r="I506" s="5" t="s">
        <v>156</v>
      </c>
      <c r="J506" s="28" t="s">
        <v>36</v>
      </c>
      <c r="K506" s="29">
        <v>711.0</v>
      </c>
      <c r="L506" s="10" t="s">
        <v>35</v>
      </c>
      <c r="M506" s="6" t="str">
        <f t="shared" si="7"/>
        <v/>
      </c>
    </row>
    <row r="507" ht="22.5" customHeight="1">
      <c r="A507" s="5">
        <f t="shared" si="8"/>
        <v>502</v>
      </c>
      <c r="B507" s="5" t="s">
        <v>1224</v>
      </c>
      <c r="C507" s="5" t="s">
        <v>14</v>
      </c>
      <c r="D507" s="6" t="str">
        <f>IFERROR(__xludf.DUMMYFUNCTION("INDEX(IMPORTDATA(""https://raw.githubusercontent.com/lukes/ISO-3166-Countries-with-Regional-Codes/master/all/all.csv""), MATCH(C507, INDEX(IMPORTDATA(""https://raw.githubusercontent.com/lukes/ISO-3166-Countries-with-Regional-Codes/master/all/all.csv""), 0"&amp;", 1), 0), 2)"),"NP")</f>
        <v>NP</v>
      </c>
      <c r="E507" s="5">
        <v>9.767305623E9</v>
      </c>
      <c r="F507" s="5" t="s">
        <v>1225</v>
      </c>
      <c r="H507" s="7">
        <v>37642.0</v>
      </c>
      <c r="I507" s="5" t="s">
        <v>156</v>
      </c>
      <c r="J507" s="28" t="s">
        <v>36</v>
      </c>
      <c r="K507" s="29">
        <v>712.0</v>
      </c>
      <c r="L507" s="10" t="s">
        <v>18</v>
      </c>
      <c r="M507" s="6" t="str">
        <f t="shared" si="7"/>
        <v/>
      </c>
    </row>
    <row r="508" ht="22.5" customHeight="1">
      <c r="A508" s="5">
        <f t="shared" si="8"/>
        <v>503</v>
      </c>
      <c r="B508" s="5" t="s">
        <v>1226</v>
      </c>
      <c r="C508" s="5" t="s">
        <v>14</v>
      </c>
      <c r="D508" s="6" t="str">
        <f>IFERROR(__xludf.DUMMYFUNCTION("INDEX(IMPORTDATA(""https://raw.githubusercontent.com/lukes/ISO-3166-Countries-with-Regional-Codes/master/all/all.csv""), MATCH(C508, INDEX(IMPORTDATA(""https://raw.githubusercontent.com/lukes/ISO-3166-Countries-with-Regional-Codes/master/all/all.csv""), 0"&amp;", 1), 0), 2)"),"NP")</f>
        <v>NP</v>
      </c>
      <c r="E508" s="5">
        <v>9.808898985E9</v>
      </c>
      <c r="F508" s="5" t="s">
        <v>1227</v>
      </c>
      <c r="H508" s="7">
        <v>35259.0</v>
      </c>
      <c r="I508" s="5" t="s">
        <v>156</v>
      </c>
      <c r="J508" s="28" t="s">
        <v>36</v>
      </c>
      <c r="K508" s="29">
        <v>713.0</v>
      </c>
      <c r="L508" s="10" t="s">
        <v>18</v>
      </c>
      <c r="M508" s="6" t="str">
        <f t="shared" si="7"/>
        <v/>
      </c>
    </row>
    <row r="509" ht="22.5" customHeight="1">
      <c r="A509" s="5">
        <f t="shared" si="8"/>
        <v>504</v>
      </c>
      <c r="B509" s="5" t="s">
        <v>1228</v>
      </c>
      <c r="C509" s="5" t="s">
        <v>14</v>
      </c>
      <c r="D509" s="6" t="str">
        <f>IFERROR(__xludf.DUMMYFUNCTION("INDEX(IMPORTDATA(""https://raw.githubusercontent.com/lukes/ISO-3166-Countries-with-Regional-Codes/master/all/all.csv""), MATCH(C509, INDEX(IMPORTDATA(""https://raw.githubusercontent.com/lukes/ISO-3166-Countries-with-Regional-Codes/master/all/all.csv""), 0"&amp;", 1), 0), 2)"),"NP")</f>
        <v>NP</v>
      </c>
      <c r="E509" s="5">
        <v>9.805963372E9</v>
      </c>
      <c r="F509" s="5" t="s">
        <v>1229</v>
      </c>
      <c r="H509" s="7">
        <v>36843.0</v>
      </c>
      <c r="I509" s="5" t="s">
        <v>156</v>
      </c>
      <c r="J509" s="28" t="s">
        <v>36</v>
      </c>
      <c r="K509" s="29">
        <v>714.0</v>
      </c>
      <c r="L509" s="10" t="s">
        <v>18</v>
      </c>
      <c r="M509" s="6" t="str">
        <f t="shared" si="7"/>
        <v/>
      </c>
    </row>
    <row r="510" ht="22.5" customHeight="1">
      <c r="A510" s="5">
        <f t="shared" si="8"/>
        <v>505</v>
      </c>
      <c r="B510" s="5" t="s">
        <v>1230</v>
      </c>
      <c r="C510" s="5" t="s">
        <v>14</v>
      </c>
      <c r="D510" s="6" t="str">
        <f>IFERROR(__xludf.DUMMYFUNCTION("INDEX(IMPORTDATA(""https://raw.githubusercontent.com/lukes/ISO-3166-Countries-with-Regional-Codes/master/all/all.csv""), MATCH(C510, INDEX(IMPORTDATA(""https://raw.githubusercontent.com/lukes/ISO-3166-Countries-with-Regional-Codes/master/all/all.csv""), 0"&amp;", 1), 0), 2)"),"NP")</f>
        <v>NP</v>
      </c>
      <c r="E510" s="5" t="s">
        <v>1231</v>
      </c>
      <c r="F510" s="5" t="s">
        <v>1232</v>
      </c>
      <c r="G510" s="5">
        <v>5297056.0</v>
      </c>
      <c r="H510" s="12">
        <v>33828.0</v>
      </c>
      <c r="I510" s="5" t="s">
        <v>156</v>
      </c>
      <c r="J510" s="28" t="s">
        <v>36</v>
      </c>
      <c r="K510" s="29">
        <v>715.0</v>
      </c>
      <c r="L510" s="10" t="s">
        <v>18</v>
      </c>
      <c r="M510" s="6" t="str">
        <f t="shared" si="7"/>
        <v/>
      </c>
    </row>
    <row r="511" ht="22.5" customHeight="1">
      <c r="A511" s="5">
        <f t="shared" si="8"/>
        <v>506</v>
      </c>
      <c r="B511" s="5" t="s">
        <v>1233</v>
      </c>
      <c r="C511" s="5" t="s">
        <v>14</v>
      </c>
      <c r="D511" s="6" t="str">
        <f>IFERROR(__xludf.DUMMYFUNCTION("INDEX(IMPORTDATA(""https://raw.githubusercontent.com/lukes/ISO-3166-Countries-with-Regional-Codes/master/all/all.csv""), MATCH(C511, INDEX(IMPORTDATA(""https://raw.githubusercontent.com/lukes/ISO-3166-Countries-with-Regional-Codes/master/all/all.csv""), 0"&amp;", 1), 0), 2)"),"NP")</f>
        <v>NP</v>
      </c>
      <c r="E511" s="5" t="s">
        <v>1234</v>
      </c>
      <c r="F511" s="5" t="s">
        <v>865</v>
      </c>
      <c r="H511" s="12">
        <v>29134.0</v>
      </c>
      <c r="I511" s="5" t="s">
        <v>156</v>
      </c>
      <c r="J511" s="28" t="s">
        <v>36</v>
      </c>
      <c r="K511" s="29">
        <v>716.0</v>
      </c>
      <c r="L511" s="10" t="s">
        <v>89</v>
      </c>
      <c r="M511" s="6" t="str">
        <f t="shared" si="7"/>
        <v/>
      </c>
    </row>
    <row r="512" ht="22.5" customHeight="1">
      <c r="A512" s="5">
        <f t="shared" si="8"/>
        <v>507</v>
      </c>
      <c r="B512" s="5" t="s">
        <v>1235</v>
      </c>
      <c r="C512" s="5" t="s">
        <v>14</v>
      </c>
      <c r="D512" s="6" t="str">
        <f>IFERROR(__xludf.DUMMYFUNCTION("INDEX(IMPORTDATA(""https://raw.githubusercontent.com/lukes/ISO-3166-Countries-with-Regional-Codes/master/all/all.csv""), MATCH(C512, INDEX(IMPORTDATA(""https://raw.githubusercontent.com/lukes/ISO-3166-Countries-with-Regional-Codes/master/all/all.csv""), 0"&amp;", 1), 0), 2)"),"NP")</f>
        <v>NP</v>
      </c>
      <c r="E512" s="5">
        <v>9.857039307E9</v>
      </c>
      <c r="F512" s="5" t="s">
        <v>1236</v>
      </c>
      <c r="G512" s="5">
        <v>6741592.0</v>
      </c>
      <c r="H512" s="7">
        <v>34836.0</v>
      </c>
      <c r="I512" s="5" t="s">
        <v>156</v>
      </c>
      <c r="J512" s="28" t="s">
        <v>36</v>
      </c>
      <c r="K512" s="29">
        <v>717.0</v>
      </c>
      <c r="L512" s="10" t="s">
        <v>35</v>
      </c>
      <c r="M512" s="6" t="str">
        <f t="shared" si="7"/>
        <v/>
      </c>
    </row>
    <row r="513" ht="22.5" customHeight="1">
      <c r="A513" s="5">
        <f t="shared" si="8"/>
        <v>508</v>
      </c>
      <c r="B513" s="5" t="s">
        <v>1237</v>
      </c>
      <c r="C513" s="5" t="s">
        <v>14</v>
      </c>
      <c r="D513" s="6" t="str">
        <f>IFERROR(__xludf.DUMMYFUNCTION("INDEX(IMPORTDATA(""https://raw.githubusercontent.com/lukes/ISO-3166-Countries-with-Regional-Codes/master/all/all.csv""), MATCH(C513, INDEX(IMPORTDATA(""https://raw.githubusercontent.com/lukes/ISO-3166-Countries-with-Regional-Codes/master/all/all.csv""), 0"&amp;", 1), 0), 2)"),"NP")</f>
        <v>NP</v>
      </c>
      <c r="E513" s="5">
        <v>9.841627262E9</v>
      </c>
      <c r="F513" s="5" t="s">
        <v>1238</v>
      </c>
      <c r="G513" s="5">
        <v>6909937.0</v>
      </c>
      <c r="H513" s="7">
        <v>33617.0</v>
      </c>
      <c r="I513" s="5" t="s">
        <v>156</v>
      </c>
      <c r="J513" s="28" t="s">
        <v>36</v>
      </c>
      <c r="K513" s="29">
        <v>718.0</v>
      </c>
      <c r="L513" s="10" t="s">
        <v>29</v>
      </c>
      <c r="M513" s="6" t="str">
        <f t="shared" si="7"/>
        <v/>
      </c>
    </row>
    <row r="514" ht="22.5" customHeight="1">
      <c r="A514" s="5">
        <f t="shared" si="8"/>
        <v>509</v>
      </c>
      <c r="B514" s="5" t="s">
        <v>1239</v>
      </c>
      <c r="C514" s="5" t="s">
        <v>14</v>
      </c>
      <c r="D514" s="6" t="str">
        <f>IFERROR(__xludf.DUMMYFUNCTION("INDEX(IMPORTDATA(""https://raw.githubusercontent.com/lukes/ISO-3166-Countries-with-Regional-Codes/master/all/all.csv""), MATCH(C514, INDEX(IMPORTDATA(""https://raw.githubusercontent.com/lukes/ISO-3166-Countries-with-Regional-Codes/master/all/all.csv""), 0"&amp;", 1), 0), 2)"),"NP")</f>
        <v>NP</v>
      </c>
      <c r="E514" s="5">
        <v>9.860799347E9</v>
      </c>
      <c r="F514" s="5" t="s">
        <v>1240</v>
      </c>
      <c r="H514" s="12">
        <v>37347.0</v>
      </c>
      <c r="I514" s="5" t="s">
        <v>156</v>
      </c>
      <c r="J514" s="28" t="s">
        <v>36</v>
      </c>
      <c r="K514" s="29">
        <v>719.0</v>
      </c>
      <c r="L514" s="10" t="s">
        <v>18</v>
      </c>
      <c r="M514" s="6" t="str">
        <f t="shared" si="7"/>
        <v/>
      </c>
    </row>
    <row r="515" ht="22.5" customHeight="1">
      <c r="A515" s="5">
        <f t="shared" si="8"/>
        <v>510</v>
      </c>
      <c r="B515" s="5" t="s">
        <v>1241</v>
      </c>
      <c r="C515" s="5" t="s">
        <v>14</v>
      </c>
      <c r="D515" s="6" t="str">
        <f>IFERROR(__xludf.DUMMYFUNCTION("INDEX(IMPORTDATA(""https://raw.githubusercontent.com/lukes/ISO-3166-Countries-with-Regional-Codes/master/all/all.csv""), MATCH(C515, INDEX(IMPORTDATA(""https://raw.githubusercontent.com/lukes/ISO-3166-Countries-with-Regional-Codes/master/all/all.csv""), 0"&amp;", 1), 0), 2)"),"NP")</f>
        <v>NP</v>
      </c>
      <c r="E515" s="5">
        <v>9.807472931E9</v>
      </c>
      <c r="F515" s="5" t="s">
        <v>1242</v>
      </c>
      <c r="H515" s="12">
        <v>37871.0</v>
      </c>
      <c r="I515" s="5" t="s">
        <v>156</v>
      </c>
      <c r="J515" s="28" t="s">
        <v>36</v>
      </c>
      <c r="K515" s="29">
        <v>720.0</v>
      </c>
      <c r="L515" s="10" t="s">
        <v>18</v>
      </c>
      <c r="M515" s="6" t="str">
        <f t="shared" si="7"/>
        <v/>
      </c>
    </row>
    <row r="516" ht="22.5" customHeight="1">
      <c r="A516" s="5">
        <f t="shared" si="8"/>
        <v>511</v>
      </c>
      <c r="B516" s="5" t="s">
        <v>1243</v>
      </c>
      <c r="C516" s="5" t="s">
        <v>14</v>
      </c>
      <c r="D516" s="6" t="str">
        <f>IFERROR(__xludf.DUMMYFUNCTION("INDEX(IMPORTDATA(""https://raw.githubusercontent.com/lukes/ISO-3166-Countries-with-Regional-Codes/master/all/all.csv""), MATCH(C516, INDEX(IMPORTDATA(""https://raw.githubusercontent.com/lukes/ISO-3166-Countries-with-Regional-Codes/master/all/all.csv""), 0"&amp;", 1), 0), 2)"),"NP")</f>
        <v>NP</v>
      </c>
      <c r="E516" s="5">
        <v>9.861165051E9</v>
      </c>
      <c r="F516" s="5" t="s">
        <v>1244</v>
      </c>
      <c r="H516" s="12">
        <v>36410.0</v>
      </c>
      <c r="I516" s="5" t="s">
        <v>156</v>
      </c>
      <c r="J516" s="28" t="s">
        <v>36</v>
      </c>
      <c r="K516" s="29">
        <v>721.0</v>
      </c>
      <c r="L516" s="10" t="s">
        <v>18</v>
      </c>
      <c r="M516" s="6" t="str">
        <f t="shared" si="7"/>
        <v/>
      </c>
    </row>
    <row r="517" ht="22.5" customHeight="1">
      <c r="A517" s="5">
        <f t="shared" si="8"/>
        <v>512</v>
      </c>
      <c r="B517" s="5" t="s">
        <v>1245</v>
      </c>
      <c r="C517" s="5" t="s">
        <v>14</v>
      </c>
      <c r="D517" s="6" t="str">
        <f>IFERROR(__xludf.DUMMYFUNCTION("INDEX(IMPORTDATA(""https://raw.githubusercontent.com/lukes/ISO-3166-Countries-with-Regional-Codes/master/all/all.csv""), MATCH(C517, INDEX(IMPORTDATA(""https://raw.githubusercontent.com/lukes/ISO-3166-Countries-with-Regional-Codes/master/all/all.csv""), 0"&amp;", 1), 0), 2)"),"NP")</f>
        <v>NP</v>
      </c>
      <c r="E517" s="5">
        <v>9.741835386E9</v>
      </c>
      <c r="F517" s="5" t="s">
        <v>1246</v>
      </c>
      <c r="H517" s="12">
        <v>37712.0</v>
      </c>
      <c r="I517" s="5" t="s">
        <v>156</v>
      </c>
      <c r="J517" s="28" t="s">
        <v>36</v>
      </c>
      <c r="K517" s="29">
        <v>722.0</v>
      </c>
      <c r="L517" s="10" t="s">
        <v>18</v>
      </c>
      <c r="M517" s="6" t="str">
        <f t="shared" si="7"/>
        <v/>
      </c>
    </row>
    <row r="518" ht="22.5" customHeight="1">
      <c r="A518" s="5">
        <f t="shared" si="8"/>
        <v>513</v>
      </c>
      <c r="B518" s="5" t="s">
        <v>1172</v>
      </c>
      <c r="C518" s="5" t="s">
        <v>14</v>
      </c>
      <c r="D518" s="6" t="str">
        <f>IFERROR(__xludf.DUMMYFUNCTION("INDEX(IMPORTDATA(""https://raw.githubusercontent.com/lukes/ISO-3166-Countries-with-Regional-Codes/master/all/all.csv""), MATCH(C518, INDEX(IMPORTDATA(""https://raw.githubusercontent.com/lukes/ISO-3166-Countries-with-Regional-Codes/master/all/all.csv""), 0"&amp;", 1), 0), 2)"),"NP")</f>
        <v>NP</v>
      </c>
      <c r="E518" s="5">
        <v>9.851140894E9</v>
      </c>
      <c r="F518" s="5" t="s">
        <v>1247</v>
      </c>
      <c r="G518" s="5">
        <v>6293548.0</v>
      </c>
      <c r="H518" s="7">
        <v>34316.0</v>
      </c>
      <c r="I518" s="5" t="s">
        <v>156</v>
      </c>
      <c r="J518" s="28" t="s">
        <v>36</v>
      </c>
      <c r="K518" s="29">
        <v>723.0</v>
      </c>
      <c r="L518" s="10" t="s">
        <v>18</v>
      </c>
      <c r="M518" s="6" t="str">
        <f t="shared" si="7"/>
        <v/>
      </c>
    </row>
    <row r="519" ht="22.5" customHeight="1">
      <c r="A519" s="5">
        <f t="shared" si="8"/>
        <v>514</v>
      </c>
      <c r="B519" s="5" t="s">
        <v>1248</v>
      </c>
      <c r="C519" s="5" t="s">
        <v>14</v>
      </c>
      <c r="D519" s="6" t="str">
        <f>IFERROR(__xludf.DUMMYFUNCTION("INDEX(IMPORTDATA(""https://raw.githubusercontent.com/lukes/ISO-3166-Countries-with-Regional-Codes/master/all/all.csv""), MATCH(C519, INDEX(IMPORTDATA(""https://raw.githubusercontent.com/lukes/ISO-3166-Countries-with-Regional-Codes/master/all/all.csv""), 0"&amp;", 1), 0), 2)"),"NP")</f>
        <v>NP</v>
      </c>
      <c r="E519" s="5">
        <v>9.748274852E9</v>
      </c>
      <c r="F519" s="5" t="s">
        <v>1249</v>
      </c>
      <c r="H519" s="7">
        <v>36977.0</v>
      </c>
      <c r="I519" s="5" t="s">
        <v>156</v>
      </c>
      <c r="J519" s="28" t="s">
        <v>36</v>
      </c>
      <c r="K519" s="29">
        <v>724.0</v>
      </c>
      <c r="L519" s="10" t="s">
        <v>18</v>
      </c>
      <c r="M519" s="6" t="str">
        <f t="shared" si="7"/>
        <v/>
      </c>
    </row>
    <row r="520" ht="22.5" customHeight="1">
      <c r="A520" s="5">
        <f t="shared" si="8"/>
        <v>515</v>
      </c>
      <c r="B520" s="5" t="s">
        <v>1250</v>
      </c>
      <c r="C520" s="5" t="s">
        <v>14</v>
      </c>
      <c r="D520" s="6" t="str">
        <f>IFERROR(__xludf.DUMMYFUNCTION("INDEX(IMPORTDATA(""https://raw.githubusercontent.com/lukes/ISO-3166-Countries-with-Regional-Codes/master/all/all.csv""), MATCH(C520, INDEX(IMPORTDATA(""https://raw.githubusercontent.com/lukes/ISO-3166-Countries-with-Regional-Codes/master/all/all.csv""), 0"&amp;", 1), 0), 2)"),"NP")</f>
        <v>NP</v>
      </c>
      <c r="E520" s="5" t="s">
        <v>1251</v>
      </c>
      <c r="F520" s="5" t="s">
        <v>1252</v>
      </c>
      <c r="G520" s="5">
        <v>1991203.0</v>
      </c>
      <c r="H520" s="7">
        <v>35513.0</v>
      </c>
      <c r="I520" s="5" t="s">
        <v>156</v>
      </c>
      <c r="J520" s="28" t="s">
        <v>36</v>
      </c>
      <c r="K520" s="29">
        <v>725.0</v>
      </c>
      <c r="L520" s="10" t="s">
        <v>35</v>
      </c>
      <c r="M520" s="6" t="str">
        <f t="shared" si="7"/>
        <v/>
      </c>
    </row>
    <row r="521" ht="22.5" customHeight="1">
      <c r="A521" s="5">
        <f t="shared" si="8"/>
        <v>516</v>
      </c>
      <c r="B521" s="5" t="s">
        <v>1253</v>
      </c>
      <c r="C521" s="5" t="s">
        <v>14</v>
      </c>
      <c r="D521" s="6" t="str">
        <f>IFERROR(__xludf.DUMMYFUNCTION("INDEX(IMPORTDATA(""https://raw.githubusercontent.com/lukes/ISO-3166-Countries-with-Regional-Codes/master/all/all.csv""), MATCH(C521, INDEX(IMPORTDATA(""https://raw.githubusercontent.com/lukes/ISO-3166-Countries-with-Regional-Codes/master/all/all.csv""), 0"&amp;", 1), 0), 2)"),"NP")</f>
        <v>NP</v>
      </c>
      <c r="E521" s="5">
        <v>9.860810611E9</v>
      </c>
      <c r="F521" s="5" t="s">
        <v>1254</v>
      </c>
      <c r="G521" s="5">
        <v>7209970.0</v>
      </c>
      <c r="H521" s="7">
        <v>36509.0</v>
      </c>
      <c r="I521" s="5" t="s">
        <v>156</v>
      </c>
      <c r="J521" s="28" t="s">
        <v>36</v>
      </c>
      <c r="K521" s="29">
        <v>726.0</v>
      </c>
      <c r="L521" s="10" t="s">
        <v>18</v>
      </c>
      <c r="M521" s="6" t="str">
        <f t="shared" si="7"/>
        <v/>
      </c>
    </row>
    <row r="522" ht="22.5" customHeight="1">
      <c r="A522" s="5">
        <f t="shared" si="8"/>
        <v>517</v>
      </c>
      <c r="B522" s="5" t="s">
        <v>1255</v>
      </c>
      <c r="C522" s="5" t="s">
        <v>14</v>
      </c>
      <c r="D522" s="6" t="str">
        <f>IFERROR(__xludf.DUMMYFUNCTION("INDEX(IMPORTDATA(""https://raw.githubusercontent.com/lukes/ISO-3166-Countries-with-Regional-Codes/master/all/all.csv""), MATCH(C522, INDEX(IMPORTDATA(""https://raw.githubusercontent.com/lukes/ISO-3166-Countries-with-Regional-Codes/master/all/all.csv""), 0"&amp;", 1), 0), 2)"),"NP")</f>
        <v>NP</v>
      </c>
      <c r="E522" s="5">
        <v>9.801150478E9</v>
      </c>
      <c r="F522" s="5" t="s">
        <v>1256</v>
      </c>
      <c r="G522" s="5">
        <v>3574679.0</v>
      </c>
      <c r="H522" s="7">
        <v>28785.0</v>
      </c>
      <c r="I522" s="5" t="s">
        <v>156</v>
      </c>
      <c r="J522" s="28" t="s">
        <v>36</v>
      </c>
      <c r="K522" s="29">
        <v>727.0</v>
      </c>
      <c r="L522" s="10" t="s">
        <v>18</v>
      </c>
      <c r="M522" s="6" t="str">
        <f t="shared" si="7"/>
        <v/>
      </c>
    </row>
    <row r="523" ht="22.5" customHeight="1">
      <c r="A523" s="5">
        <f t="shared" si="8"/>
        <v>518</v>
      </c>
      <c r="B523" s="5" t="s">
        <v>1257</v>
      </c>
      <c r="C523" s="5" t="s">
        <v>14</v>
      </c>
      <c r="D523" s="6" t="str">
        <f>IFERROR(__xludf.DUMMYFUNCTION("INDEX(IMPORTDATA(""https://raw.githubusercontent.com/lukes/ISO-3166-Countries-with-Regional-Codes/master/all/all.csv""), MATCH(C523, INDEX(IMPORTDATA(""https://raw.githubusercontent.com/lukes/ISO-3166-Countries-with-Regional-Codes/master/all/all.csv""), 0"&amp;", 1), 0), 2)"),"NP")</f>
        <v>NP</v>
      </c>
      <c r="E523" s="5" t="s">
        <v>1258</v>
      </c>
      <c r="F523" s="5" t="s">
        <v>1259</v>
      </c>
      <c r="G523" s="5">
        <v>5075601.0</v>
      </c>
      <c r="H523" s="7">
        <v>35812.0</v>
      </c>
      <c r="I523" s="5" t="s">
        <v>156</v>
      </c>
      <c r="J523" s="28" t="s">
        <v>36</v>
      </c>
      <c r="K523" s="29">
        <v>728.0</v>
      </c>
      <c r="L523" s="10" t="s">
        <v>89</v>
      </c>
      <c r="M523" s="6" t="str">
        <f t="shared" si="7"/>
        <v/>
      </c>
    </row>
    <row r="524" ht="22.5" customHeight="1">
      <c r="A524" s="5">
        <f t="shared" si="8"/>
        <v>519</v>
      </c>
      <c r="B524" s="5" t="s">
        <v>1260</v>
      </c>
      <c r="C524" s="5" t="s">
        <v>14</v>
      </c>
      <c r="D524" s="6" t="str">
        <f>IFERROR(__xludf.DUMMYFUNCTION("INDEX(IMPORTDATA(""https://raw.githubusercontent.com/lukes/ISO-3166-Countries-with-Regional-Codes/master/all/all.csv""), MATCH(C524, INDEX(IMPORTDATA(""https://raw.githubusercontent.com/lukes/ISO-3166-Countries-with-Regional-Codes/master/all/all.csv""), 0"&amp;", 1), 0), 2)"),"NP")</f>
        <v>NP</v>
      </c>
      <c r="E524" s="5">
        <v>9.81037155E9</v>
      </c>
      <c r="F524" s="5" t="s">
        <v>1261</v>
      </c>
      <c r="H524" s="7">
        <v>34361.0</v>
      </c>
      <c r="I524" s="5" t="s">
        <v>156</v>
      </c>
      <c r="J524" s="28" t="s">
        <v>36</v>
      </c>
      <c r="K524" s="29">
        <v>729.0</v>
      </c>
      <c r="L524" s="10" t="s">
        <v>18</v>
      </c>
      <c r="M524" s="6" t="str">
        <f t="shared" si="7"/>
        <v/>
      </c>
    </row>
    <row r="525" ht="22.5" customHeight="1">
      <c r="A525" s="5">
        <f t="shared" si="8"/>
        <v>520</v>
      </c>
      <c r="B525" s="5" t="s">
        <v>1262</v>
      </c>
      <c r="C525" s="5" t="s">
        <v>14</v>
      </c>
      <c r="D525" s="6" t="str">
        <f>IFERROR(__xludf.DUMMYFUNCTION("INDEX(IMPORTDATA(""https://raw.githubusercontent.com/lukes/ISO-3166-Countries-with-Regional-Codes/master/all/all.csv""), MATCH(C525, INDEX(IMPORTDATA(""https://raw.githubusercontent.com/lukes/ISO-3166-Countries-with-Regional-Codes/master/all/all.csv""), 0"&amp;", 1), 0), 2)"),"NP")</f>
        <v>NP</v>
      </c>
      <c r="E525" s="5">
        <v>9.869044509E9</v>
      </c>
      <c r="F525" s="5" t="s">
        <v>1263</v>
      </c>
      <c r="H525" s="12">
        <v>37624.0</v>
      </c>
      <c r="I525" s="5" t="s">
        <v>156</v>
      </c>
      <c r="J525" s="28" t="s">
        <v>36</v>
      </c>
      <c r="K525" s="29">
        <v>730.0</v>
      </c>
      <c r="L525" s="10" t="s">
        <v>18</v>
      </c>
      <c r="M525" s="6" t="str">
        <f t="shared" si="7"/>
        <v/>
      </c>
    </row>
    <row r="526" ht="22.5" customHeight="1">
      <c r="A526" s="5">
        <f t="shared" si="8"/>
        <v>521</v>
      </c>
      <c r="B526" s="5" t="s">
        <v>1264</v>
      </c>
      <c r="C526" s="5" t="s">
        <v>14</v>
      </c>
      <c r="D526" s="6" t="str">
        <f>IFERROR(__xludf.DUMMYFUNCTION("INDEX(IMPORTDATA(""https://raw.githubusercontent.com/lukes/ISO-3166-Countries-with-Regional-Codes/master/all/all.csv""), MATCH(C526, INDEX(IMPORTDATA(""https://raw.githubusercontent.com/lukes/ISO-3166-Countries-with-Regional-Codes/master/all/all.csv""), 0"&amp;", 1), 0), 2)"),"NP")</f>
        <v>NP</v>
      </c>
      <c r="E526" s="5">
        <v>9.841737438E9</v>
      </c>
      <c r="F526" s="5" t="s">
        <v>1265</v>
      </c>
      <c r="G526" s="5">
        <v>6059219.0</v>
      </c>
      <c r="H526" s="12">
        <v>34582.0</v>
      </c>
      <c r="I526" s="5" t="s">
        <v>156</v>
      </c>
      <c r="J526" s="28" t="s">
        <v>36</v>
      </c>
      <c r="K526" s="29">
        <v>731.0</v>
      </c>
      <c r="L526" s="10" t="s">
        <v>89</v>
      </c>
      <c r="M526" s="6" t="str">
        <f t="shared" si="7"/>
        <v/>
      </c>
    </row>
    <row r="527" ht="22.5" customHeight="1">
      <c r="A527" s="5">
        <f t="shared" si="8"/>
        <v>522</v>
      </c>
      <c r="B527" s="5" t="s">
        <v>1266</v>
      </c>
      <c r="C527" s="5" t="s">
        <v>14</v>
      </c>
      <c r="D527" s="6" t="str">
        <f>IFERROR(__xludf.DUMMYFUNCTION("INDEX(IMPORTDATA(""https://raw.githubusercontent.com/lukes/ISO-3166-Countries-with-Regional-Codes/master/all/all.csv""), MATCH(C527, INDEX(IMPORTDATA(""https://raw.githubusercontent.com/lukes/ISO-3166-Countries-with-Regional-Codes/master/all/all.csv""), 0"&amp;", 1), 0), 2)"),"NP")</f>
        <v>NP</v>
      </c>
      <c r="E527" s="5">
        <v>9.849899496E9</v>
      </c>
      <c r="F527" s="5" t="s">
        <v>1267</v>
      </c>
      <c r="G527" s="5">
        <v>5257438.0</v>
      </c>
      <c r="H527" s="12">
        <v>33545.0</v>
      </c>
      <c r="I527" s="5" t="s">
        <v>156</v>
      </c>
      <c r="J527" s="28" t="s">
        <v>36</v>
      </c>
      <c r="K527" s="29">
        <v>732.0</v>
      </c>
      <c r="L527" s="10" t="s">
        <v>35</v>
      </c>
      <c r="M527" s="6" t="str">
        <f t="shared" si="7"/>
        <v/>
      </c>
    </row>
    <row r="528" ht="22.5" customHeight="1">
      <c r="A528" s="5">
        <f t="shared" si="8"/>
        <v>523</v>
      </c>
      <c r="B528" s="5" t="s">
        <v>1268</v>
      </c>
      <c r="C528" s="5" t="s">
        <v>14</v>
      </c>
      <c r="D528" s="6" t="str">
        <f>IFERROR(__xludf.DUMMYFUNCTION("INDEX(IMPORTDATA(""https://raw.githubusercontent.com/lukes/ISO-3166-Countries-with-Regional-Codes/master/all/all.csv""), MATCH(C528, INDEX(IMPORTDATA(""https://raw.githubusercontent.com/lukes/ISO-3166-Countries-with-Regional-Codes/master/all/all.csv""), 0"&amp;", 1), 0), 2)"),"NP")</f>
        <v>NP</v>
      </c>
      <c r="E528" s="5">
        <v>9.76724615E9</v>
      </c>
      <c r="F528" s="5" t="s">
        <v>1269</v>
      </c>
      <c r="G528" s="5" t="s">
        <v>1268</v>
      </c>
      <c r="H528" s="7">
        <v>39068.0</v>
      </c>
      <c r="I528" s="5" t="s">
        <v>156</v>
      </c>
      <c r="J528" s="28" t="s">
        <v>36</v>
      </c>
      <c r="K528" s="29">
        <v>733.0</v>
      </c>
      <c r="L528" s="10" t="s">
        <v>18</v>
      </c>
      <c r="M528" s="6" t="str">
        <f t="shared" si="7"/>
        <v/>
      </c>
    </row>
    <row r="529" ht="22.5" customHeight="1">
      <c r="A529" s="5">
        <f t="shared" si="8"/>
        <v>524</v>
      </c>
      <c r="B529" s="5" t="s">
        <v>1270</v>
      </c>
      <c r="C529" s="5" t="s">
        <v>14</v>
      </c>
      <c r="D529" s="6" t="str">
        <f>IFERROR(__xludf.DUMMYFUNCTION("INDEX(IMPORTDATA(""https://raw.githubusercontent.com/lukes/ISO-3166-Countries-with-Regional-Codes/master/all/all.csv""), MATCH(C529, INDEX(IMPORTDATA(""https://raw.githubusercontent.com/lukes/ISO-3166-Countries-with-Regional-Codes/master/all/all.csv""), 0"&amp;", 1), 0), 2)"),"NP")</f>
        <v>NP</v>
      </c>
      <c r="E529" s="5">
        <v>9.745915792E9</v>
      </c>
      <c r="F529" s="5" t="s">
        <v>1271</v>
      </c>
      <c r="G529" s="5" t="s">
        <v>1270</v>
      </c>
      <c r="H529" s="7">
        <v>37123.0</v>
      </c>
      <c r="I529" s="5" t="s">
        <v>156</v>
      </c>
      <c r="J529" s="28" t="s">
        <v>36</v>
      </c>
      <c r="K529" s="29">
        <v>734.0</v>
      </c>
      <c r="L529" s="10" t="s">
        <v>35</v>
      </c>
      <c r="M529" s="6" t="str">
        <f t="shared" si="7"/>
        <v/>
      </c>
    </row>
    <row r="530" ht="22.5" customHeight="1">
      <c r="A530" s="5">
        <f t="shared" si="8"/>
        <v>525</v>
      </c>
      <c r="B530" s="5" t="s">
        <v>1272</v>
      </c>
      <c r="C530" s="5" t="s">
        <v>14</v>
      </c>
      <c r="D530" s="6" t="str">
        <f>IFERROR(__xludf.DUMMYFUNCTION("INDEX(IMPORTDATA(""https://raw.githubusercontent.com/lukes/ISO-3166-Countries-with-Regional-Codes/master/all/all.csv""), MATCH(C530, INDEX(IMPORTDATA(""https://raw.githubusercontent.com/lukes/ISO-3166-Countries-with-Regional-Codes/master/all/all.csv""), 0"&amp;", 1), 0), 2)"),"NP")</f>
        <v>NP</v>
      </c>
      <c r="E530" s="5">
        <v>9.76748902E8</v>
      </c>
      <c r="F530" s="5" t="s">
        <v>1273</v>
      </c>
      <c r="G530" s="5" t="s">
        <v>1272</v>
      </c>
      <c r="H530" s="12">
        <v>33675.0</v>
      </c>
      <c r="I530" s="5" t="s">
        <v>156</v>
      </c>
      <c r="J530" s="28" t="s">
        <v>36</v>
      </c>
      <c r="K530" s="29">
        <v>735.0</v>
      </c>
      <c r="L530" s="10" t="s">
        <v>18</v>
      </c>
      <c r="M530" s="6" t="str">
        <f t="shared" si="7"/>
        <v/>
      </c>
    </row>
    <row r="531" ht="22.5" customHeight="1">
      <c r="A531" s="5">
        <f t="shared" si="8"/>
        <v>526</v>
      </c>
      <c r="B531" s="5" t="s">
        <v>1274</v>
      </c>
      <c r="C531" s="5" t="s">
        <v>14</v>
      </c>
      <c r="D531" s="6" t="str">
        <f>IFERROR(__xludf.DUMMYFUNCTION("INDEX(IMPORTDATA(""https://raw.githubusercontent.com/lukes/ISO-3166-Countries-with-Regional-Codes/master/all/all.csv""), MATCH(C531, INDEX(IMPORTDATA(""https://raw.githubusercontent.com/lukes/ISO-3166-Countries-with-Regional-Codes/master/all/all.csv""), 0"&amp;", 1), 0), 2)"),"NP")</f>
        <v>NP</v>
      </c>
      <c r="E531" s="5" t="s">
        <v>1275</v>
      </c>
      <c r="F531" s="5" t="s">
        <v>1276</v>
      </c>
      <c r="G531" s="5">
        <v>5380627.0</v>
      </c>
      <c r="H531" s="7">
        <v>33012.0</v>
      </c>
      <c r="I531" s="5" t="s">
        <v>156</v>
      </c>
      <c r="J531" s="28" t="s">
        <v>36</v>
      </c>
      <c r="K531" s="29">
        <v>736.0</v>
      </c>
      <c r="L531" s="10" t="s">
        <v>18</v>
      </c>
      <c r="M531" s="6" t="str">
        <f t="shared" si="7"/>
        <v/>
      </c>
    </row>
    <row r="532" ht="22.5" customHeight="1">
      <c r="A532" s="5">
        <f t="shared" si="8"/>
        <v>527</v>
      </c>
      <c r="B532" s="5" t="s">
        <v>1277</v>
      </c>
      <c r="C532" s="5" t="s">
        <v>14</v>
      </c>
      <c r="D532" s="6" t="str">
        <f>IFERROR(__xludf.DUMMYFUNCTION("INDEX(IMPORTDATA(""https://raw.githubusercontent.com/lukes/ISO-3166-Countries-with-Regional-Codes/master/all/all.csv""), MATCH(C532, INDEX(IMPORTDATA(""https://raw.githubusercontent.com/lukes/ISO-3166-Countries-with-Regional-Codes/master/all/all.csv""), 0"&amp;", 1), 0), 2)"),"NP")</f>
        <v>NP</v>
      </c>
      <c r="E532" s="5" t="s">
        <v>1278</v>
      </c>
      <c r="F532" s="5" t="s">
        <v>1006</v>
      </c>
      <c r="G532" s="5">
        <v>5291694.0</v>
      </c>
      <c r="H532" s="7">
        <v>36007.0</v>
      </c>
      <c r="I532" s="5" t="s">
        <v>156</v>
      </c>
      <c r="J532" s="28" t="s">
        <v>36</v>
      </c>
      <c r="K532" s="29">
        <v>737.0</v>
      </c>
      <c r="L532" s="10" t="s">
        <v>18</v>
      </c>
      <c r="M532" s="6" t="str">
        <f t="shared" si="7"/>
        <v/>
      </c>
    </row>
    <row r="533" ht="22.5" customHeight="1">
      <c r="A533" s="5">
        <f t="shared" si="8"/>
        <v>528</v>
      </c>
      <c r="B533" s="5" t="s">
        <v>1279</v>
      </c>
      <c r="C533" s="5" t="s">
        <v>14</v>
      </c>
      <c r="D533" s="6" t="str">
        <f>IFERROR(__xludf.DUMMYFUNCTION("INDEX(IMPORTDATA(""https://raw.githubusercontent.com/lukes/ISO-3166-Countries-with-Regional-Codes/master/all/all.csv""), MATCH(C533, INDEX(IMPORTDATA(""https://raw.githubusercontent.com/lukes/ISO-3166-Countries-with-Regional-Codes/master/all/all.csv""), 0"&amp;", 1), 0), 2)"),"NP")</f>
        <v>NP</v>
      </c>
      <c r="E533" s="5">
        <v>9.863537253E9</v>
      </c>
      <c r="F533" s="5" t="s">
        <v>1280</v>
      </c>
      <c r="G533" s="5">
        <v>6345205.0</v>
      </c>
      <c r="H533" s="7">
        <v>34332.0</v>
      </c>
      <c r="I533" s="5" t="s">
        <v>156</v>
      </c>
      <c r="J533" s="28" t="s">
        <v>36</v>
      </c>
      <c r="K533" s="29">
        <v>738.0</v>
      </c>
      <c r="L533" s="10" t="s">
        <v>18</v>
      </c>
      <c r="M533" s="6" t="str">
        <f t="shared" si="7"/>
        <v/>
      </c>
    </row>
    <row r="534" ht="22.5" customHeight="1">
      <c r="A534" s="5">
        <f t="shared" si="8"/>
        <v>529</v>
      </c>
      <c r="B534" s="5" t="s">
        <v>1281</v>
      </c>
      <c r="C534" s="5" t="s">
        <v>14</v>
      </c>
      <c r="D534" s="6" t="str">
        <f>IFERROR(__xludf.DUMMYFUNCTION("INDEX(IMPORTDATA(""https://raw.githubusercontent.com/lukes/ISO-3166-Countries-with-Regional-Codes/master/all/all.csv""), MATCH(C534, INDEX(IMPORTDATA(""https://raw.githubusercontent.com/lukes/ISO-3166-Countries-with-Regional-Codes/master/all/all.csv""), 0"&amp;", 1), 0), 2)"),"NP")</f>
        <v>NP</v>
      </c>
      <c r="E534" s="5">
        <v>9.84954084E9</v>
      </c>
      <c r="F534" s="5" t="s">
        <v>1282</v>
      </c>
      <c r="H534" s="7">
        <v>33511.0</v>
      </c>
      <c r="I534" s="5" t="s">
        <v>156</v>
      </c>
      <c r="J534" s="28" t="s">
        <v>36</v>
      </c>
      <c r="K534" s="29">
        <v>739.0</v>
      </c>
      <c r="L534" s="10" t="s">
        <v>35</v>
      </c>
      <c r="M534" s="6" t="str">
        <f t="shared" si="7"/>
        <v/>
      </c>
    </row>
    <row r="535" ht="22.5" customHeight="1">
      <c r="A535" s="5">
        <f t="shared" si="8"/>
        <v>530</v>
      </c>
      <c r="B535" s="5" t="s">
        <v>1283</v>
      </c>
      <c r="C535" s="5" t="s">
        <v>14</v>
      </c>
      <c r="D535" s="6" t="str">
        <f>IFERROR(__xludf.DUMMYFUNCTION("INDEX(IMPORTDATA(""https://raw.githubusercontent.com/lukes/ISO-3166-Countries-with-Regional-Codes/master/all/all.csv""), MATCH(C535, INDEX(IMPORTDATA(""https://raw.githubusercontent.com/lukes/ISO-3166-Countries-with-Regional-Codes/master/all/all.csv""), 0"&amp;", 1), 0), 2)"),"NP")</f>
        <v>NP</v>
      </c>
      <c r="E535" s="5" t="s">
        <v>1284</v>
      </c>
      <c r="F535" s="5" t="s">
        <v>1285</v>
      </c>
      <c r="G535" s="5">
        <v>5794164.0</v>
      </c>
      <c r="H535" s="12">
        <v>35862.0</v>
      </c>
      <c r="I535" s="5" t="s">
        <v>156</v>
      </c>
      <c r="J535" s="28" t="s">
        <v>36</v>
      </c>
      <c r="K535" s="29">
        <v>740.0</v>
      </c>
      <c r="L535" s="10" t="s">
        <v>35</v>
      </c>
      <c r="M535" s="6" t="str">
        <f t="shared" si="7"/>
        <v/>
      </c>
    </row>
    <row r="536" ht="22.5" customHeight="1">
      <c r="A536" s="5">
        <f t="shared" si="8"/>
        <v>531</v>
      </c>
      <c r="B536" s="5" t="s">
        <v>1286</v>
      </c>
      <c r="C536" s="5" t="s">
        <v>14</v>
      </c>
      <c r="D536" s="6" t="str">
        <f>IFERROR(__xludf.DUMMYFUNCTION("INDEX(IMPORTDATA(""https://raw.githubusercontent.com/lukes/ISO-3166-Countries-with-Regional-Codes/master/all/all.csv""), MATCH(C536, INDEX(IMPORTDATA(""https://raw.githubusercontent.com/lukes/ISO-3166-Countries-with-Regional-Codes/master/all/all.csv""), 0"&amp;", 1), 0), 2)"),"NP")</f>
        <v>NP</v>
      </c>
      <c r="E536" s="5">
        <v>9.841038062E9</v>
      </c>
      <c r="F536" s="5" t="s">
        <v>1287</v>
      </c>
      <c r="G536" s="5">
        <v>5379501.0</v>
      </c>
      <c r="H536" s="7">
        <v>37154.0</v>
      </c>
      <c r="I536" s="5" t="s">
        <v>156</v>
      </c>
      <c r="J536" s="28" t="s">
        <v>36</v>
      </c>
      <c r="K536" s="29">
        <v>741.0</v>
      </c>
      <c r="L536" s="10" t="s">
        <v>35</v>
      </c>
      <c r="M536" s="6" t="str">
        <f t="shared" si="7"/>
        <v/>
      </c>
    </row>
    <row r="537" ht="22.5" customHeight="1">
      <c r="A537" s="5">
        <f t="shared" si="8"/>
        <v>532</v>
      </c>
      <c r="B537" s="5" t="s">
        <v>1288</v>
      </c>
      <c r="C537" s="5" t="s">
        <v>14</v>
      </c>
      <c r="D537" s="6" t="str">
        <f>IFERROR(__xludf.DUMMYFUNCTION("INDEX(IMPORTDATA(""https://raw.githubusercontent.com/lukes/ISO-3166-Countries-with-Regional-Codes/master/all/all.csv""), MATCH(C537, INDEX(IMPORTDATA(""https://raw.githubusercontent.com/lukes/ISO-3166-Countries-with-Regional-Codes/master/all/all.csv""), 0"&amp;", 1), 0), 2)"),"NP")</f>
        <v>NP</v>
      </c>
      <c r="E537" s="5">
        <v>9.858423303E9</v>
      </c>
      <c r="F537" s="5" t="s">
        <v>1289</v>
      </c>
      <c r="G537" s="5">
        <v>6222655.0</v>
      </c>
      <c r="H537" s="7">
        <v>31777.0</v>
      </c>
      <c r="I537" s="5" t="s">
        <v>156</v>
      </c>
      <c r="J537" s="28" t="s">
        <v>36</v>
      </c>
      <c r="K537" s="29">
        <v>742.0</v>
      </c>
      <c r="L537" s="10" t="s">
        <v>18</v>
      </c>
      <c r="M537" s="6" t="str">
        <f t="shared" si="7"/>
        <v/>
      </c>
    </row>
    <row r="538" ht="22.5" customHeight="1">
      <c r="A538" s="5">
        <f t="shared" si="8"/>
        <v>533</v>
      </c>
      <c r="B538" s="5" t="s">
        <v>1290</v>
      </c>
      <c r="C538" s="5" t="s">
        <v>14</v>
      </c>
      <c r="D538" s="6" t="str">
        <f>IFERROR(__xludf.DUMMYFUNCTION("INDEX(IMPORTDATA(""https://raw.githubusercontent.com/lukes/ISO-3166-Countries-with-Regional-Codes/master/all/all.csv""), MATCH(C538, INDEX(IMPORTDATA(""https://raw.githubusercontent.com/lukes/ISO-3166-Countries-with-Regional-Codes/master/all/all.csv""), 0"&amp;", 1), 0), 2)"),"NP")</f>
        <v>NP</v>
      </c>
      <c r="E538" s="5">
        <v>9.864461512E9</v>
      </c>
      <c r="F538" s="5" t="s">
        <v>1291</v>
      </c>
      <c r="G538" s="5">
        <v>6743889.0</v>
      </c>
      <c r="H538" s="7">
        <v>35997.0</v>
      </c>
      <c r="I538" s="5" t="s">
        <v>156</v>
      </c>
      <c r="J538" s="28" t="s">
        <v>36</v>
      </c>
      <c r="K538" s="29">
        <v>743.0</v>
      </c>
      <c r="L538" s="10" t="s">
        <v>18</v>
      </c>
      <c r="M538" s="6" t="str">
        <f t="shared" si="7"/>
        <v/>
      </c>
    </row>
    <row r="539" ht="22.5" customHeight="1">
      <c r="A539" s="5">
        <f t="shared" si="8"/>
        <v>534</v>
      </c>
      <c r="B539" s="5" t="s">
        <v>1292</v>
      </c>
      <c r="C539" s="5" t="s">
        <v>14</v>
      </c>
      <c r="D539" s="6" t="str">
        <f>IFERROR(__xludf.DUMMYFUNCTION("INDEX(IMPORTDATA(""https://raw.githubusercontent.com/lukes/ISO-3166-Countries-with-Regional-Codes/master/all/all.csv""), MATCH(C539, INDEX(IMPORTDATA(""https://raw.githubusercontent.com/lukes/ISO-3166-Countries-with-Regional-Codes/master/all/all.csv""), 0"&amp;", 1), 0), 2)"),"NP")</f>
        <v>NP</v>
      </c>
      <c r="E539" s="5">
        <v>9.703149666E9</v>
      </c>
      <c r="F539" s="5" t="s">
        <v>1293</v>
      </c>
      <c r="G539" s="5">
        <v>5139309.0</v>
      </c>
      <c r="H539" s="12">
        <v>30259.0</v>
      </c>
      <c r="I539" s="5" t="s">
        <v>156</v>
      </c>
      <c r="J539" s="28" t="s">
        <v>36</v>
      </c>
      <c r="K539" s="29">
        <v>744.0</v>
      </c>
      <c r="L539" s="10" t="s">
        <v>18</v>
      </c>
      <c r="M539" s="6" t="str">
        <f t="shared" si="7"/>
        <v/>
      </c>
    </row>
    <row r="540" ht="22.5" customHeight="1">
      <c r="A540" s="5">
        <f t="shared" si="8"/>
        <v>535</v>
      </c>
      <c r="B540" s="5" t="s">
        <v>1294</v>
      </c>
      <c r="C540" s="5" t="s">
        <v>14</v>
      </c>
      <c r="D540" s="6" t="str">
        <f>IFERROR(__xludf.DUMMYFUNCTION("INDEX(IMPORTDATA(""https://raw.githubusercontent.com/lukes/ISO-3166-Countries-with-Regional-Codes/master/all/all.csv""), MATCH(C540, INDEX(IMPORTDATA(""https://raw.githubusercontent.com/lukes/ISO-3166-Countries-with-Regional-Codes/master/all/all.csv""), 0"&amp;", 1), 0), 2)"),"NP")</f>
        <v>NP</v>
      </c>
      <c r="E540" s="5">
        <v>9.818809717E9</v>
      </c>
      <c r="F540" s="5" t="s">
        <v>1295</v>
      </c>
      <c r="G540" s="5">
        <v>6709540.0</v>
      </c>
      <c r="H540" s="7">
        <v>37270.0</v>
      </c>
      <c r="I540" s="5" t="s">
        <v>156</v>
      </c>
      <c r="J540" s="28" t="s">
        <v>36</v>
      </c>
      <c r="K540" s="29">
        <v>745.0</v>
      </c>
      <c r="L540" s="10" t="s">
        <v>35</v>
      </c>
      <c r="M540" s="6" t="str">
        <f t="shared" si="7"/>
        <v/>
      </c>
    </row>
    <row r="541" ht="22.5" customHeight="1">
      <c r="A541" s="5">
        <f t="shared" si="8"/>
        <v>536</v>
      </c>
      <c r="B541" s="5" t="s">
        <v>1296</v>
      </c>
      <c r="C541" s="5" t="s">
        <v>14</v>
      </c>
      <c r="D541" s="6" t="str">
        <f>IFERROR(__xludf.DUMMYFUNCTION("INDEX(IMPORTDATA(""https://raw.githubusercontent.com/lukes/ISO-3166-Countries-with-Regional-Codes/master/all/all.csv""), MATCH(C541, INDEX(IMPORTDATA(""https://raw.githubusercontent.com/lukes/ISO-3166-Countries-with-Regional-Codes/master/all/all.csv""), 0"&amp;", 1), 0), 2)"),"NP")</f>
        <v>NP</v>
      </c>
      <c r="E541" s="5">
        <v>9.86339853E9</v>
      </c>
      <c r="F541" s="5" t="s">
        <v>1297</v>
      </c>
      <c r="G541" s="5">
        <v>838.0</v>
      </c>
      <c r="H541" s="7">
        <v>35062.0</v>
      </c>
      <c r="I541" s="5" t="s">
        <v>156</v>
      </c>
      <c r="J541" s="28" t="s">
        <v>36</v>
      </c>
      <c r="K541" s="29">
        <v>746.0</v>
      </c>
      <c r="L541" s="10" t="s">
        <v>29</v>
      </c>
      <c r="M541" s="6" t="str">
        <f t="shared" si="7"/>
        <v/>
      </c>
    </row>
    <row r="542" ht="22.5" customHeight="1">
      <c r="A542" s="5">
        <f t="shared" si="8"/>
        <v>537</v>
      </c>
      <c r="B542" s="5" t="s">
        <v>1298</v>
      </c>
      <c r="C542" s="5" t="s">
        <v>904</v>
      </c>
      <c r="D542" s="6" t="str">
        <f>IFERROR(__xludf.DUMMYFUNCTION("INDEX(IMPORTDATA(""https://raw.githubusercontent.com/lukes/ISO-3166-Countries-with-Regional-Codes/master/all/all.csv""), MATCH(C542, INDEX(IMPORTDATA(""https://raw.githubusercontent.com/lukes/ISO-3166-Countries-with-Regional-Codes/master/all/all.csv""), 0"&amp;", 1), 0), 2)"),"BD")</f>
        <v>BD</v>
      </c>
      <c r="E542" s="5" t="s">
        <v>1299</v>
      </c>
      <c r="F542" s="5" t="s">
        <v>1300</v>
      </c>
      <c r="H542" s="12">
        <v>35862.0</v>
      </c>
      <c r="I542" s="5" t="s">
        <v>156</v>
      </c>
      <c r="J542" s="28" t="s">
        <v>36</v>
      </c>
      <c r="K542" s="29">
        <v>747.0</v>
      </c>
      <c r="L542" s="10" t="s">
        <v>18</v>
      </c>
      <c r="M542" s="6" t="str">
        <f t="shared" si="7"/>
        <v/>
      </c>
    </row>
    <row r="543" ht="22.5" customHeight="1">
      <c r="A543" s="5">
        <f t="shared" si="8"/>
        <v>538</v>
      </c>
      <c r="B543" s="5" t="s">
        <v>1301</v>
      </c>
      <c r="C543" s="5" t="s">
        <v>904</v>
      </c>
      <c r="D543" s="6" t="str">
        <f>IFERROR(__xludf.DUMMYFUNCTION("INDEX(IMPORTDATA(""https://raw.githubusercontent.com/lukes/ISO-3166-Countries-with-Regional-Codes/master/all/all.csv""), MATCH(C543, INDEX(IMPORTDATA(""https://raw.githubusercontent.com/lukes/ISO-3166-Countries-with-Regional-Codes/master/all/all.csv""), 0"&amp;", 1), 0), 2)"),"BD")</f>
        <v>BD</v>
      </c>
      <c r="E543" s="5">
        <v>8.801912301814E12</v>
      </c>
      <c r="F543" s="5" t="s">
        <v>1302</v>
      </c>
      <c r="G543" s="5">
        <v>5828320.0</v>
      </c>
      <c r="H543" s="7">
        <v>33592.0</v>
      </c>
      <c r="I543" s="5" t="s">
        <v>156</v>
      </c>
      <c r="J543" s="28" t="s">
        <v>36</v>
      </c>
      <c r="K543" s="29">
        <v>748.0</v>
      </c>
      <c r="L543" s="10" t="s">
        <v>18</v>
      </c>
      <c r="M543" s="6" t="str">
        <f t="shared" si="7"/>
        <v/>
      </c>
    </row>
    <row r="544" ht="22.5" customHeight="1">
      <c r="A544" s="5">
        <f t="shared" si="8"/>
        <v>539</v>
      </c>
      <c r="B544" s="5" t="s">
        <v>1303</v>
      </c>
      <c r="C544" s="5" t="s">
        <v>904</v>
      </c>
      <c r="D544" s="6" t="str">
        <f>IFERROR(__xludf.DUMMYFUNCTION("INDEX(IMPORTDATA(""https://raw.githubusercontent.com/lukes/ISO-3166-Countries-with-Regional-Codes/master/all/all.csv""), MATCH(C544, INDEX(IMPORTDATA(""https://raw.githubusercontent.com/lukes/ISO-3166-Countries-with-Regional-Codes/master/all/all.csv""), 0"&amp;", 1), 0), 2)"),"BD")</f>
        <v>BD</v>
      </c>
      <c r="E544" s="5">
        <v>1.701064089E9</v>
      </c>
      <c r="F544" s="5" t="s">
        <v>1304</v>
      </c>
      <c r="G544" s="5">
        <v>5379989.0</v>
      </c>
      <c r="H544" s="7">
        <v>35259.0</v>
      </c>
      <c r="I544" s="5" t="s">
        <v>156</v>
      </c>
      <c r="J544" s="28" t="s">
        <v>36</v>
      </c>
      <c r="K544" s="29">
        <v>749.0</v>
      </c>
      <c r="L544" s="10" t="s">
        <v>29</v>
      </c>
      <c r="M544" s="6" t="str">
        <f t="shared" si="7"/>
        <v/>
      </c>
    </row>
    <row r="545" ht="22.5" customHeight="1">
      <c r="A545" s="5">
        <f t="shared" si="8"/>
        <v>540</v>
      </c>
      <c r="B545" s="5" t="s">
        <v>1305</v>
      </c>
      <c r="C545" s="5" t="s">
        <v>904</v>
      </c>
      <c r="D545" s="6" t="str">
        <f>IFERROR(__xludf.DUMMYFUNCTION("INDEX(IMPORTDATA(""https://raw.githubusercontent.com/lukes/ISO-3166-Countries-with-Regional-Codes/master/all/all.csv""), MATCH(C545, INDEX(IMPORTDATA(""https://raw.githubusercontent.com/lukes/ISO-3166-Countries-with-Regional-Codes/master/all/all.csv""), 0"&amp;", 1), 0), 2)"),"BD")</f>
        <v>BD</v>
      </c>
      <c r="E545" s="5" t="s">
        <v>1306</v>
      </c>
      <c r="F545" s="5" t="s">
        <v>1307</v>
      </c>
      <c r="G545" s="5">
        <v>5379998.0</v>
      </c>
      <c r="H545" s="12">
        <v>31357.0</v>
      </c>
      <c r="I545" s="5" t="s">
        <v>156</v>
      </c>
      <c r="J545" s="28" t="s">
        <v>36</v>
      </c>
      <c r="K545" s="29">
        <v>750.0</v>
      </c>
      <c r="L545" s="10" t="s">
        <v>18</v>
      </c>
      <c r="M545" s="6" t="str">
        <f t="shared" si="7"/>
        <v/>
      </c>
    </row>
    <row r="546" ht="22.5" customHeight="1">
      <c r="A546" s="5">
        <f t="shared" si="8"/>
        <v>541</v>
      </c>
      <c r="B546" s="5" t="s">
        <v>1308</v>
      </c>
      <c r="C546" s="5" t="s">
        <v>904</v>
      </c>
      <c r="D546" s="6" t="str">
        <f>IFERROR(__xludf.DUMMYFUNCTION("INDEX(IMPORTDATA(""https://raw.githubusercontent.com/lukes/ISO-3166-Countries-with-Regional-Codes/master/all/all.csv""), MATCH(C546, INDEX(IMPORTDATA(""https://raw.githubusercontent.com/lukes/ISO-3166-Countries-with-Regional-Codes/master/all/all.csv""), 0"&amp;", 1), 0), 2)"),"BD")</f>
        <v>BD</v>
      </c>
      <c r="E546" s="5" t="s">
        <v>1309</v>
      </c>
      <c r="F546" s="5" t="s">
        <v>1310</v>
      </c>
      <c r="H546" s="7">
        <v>34482.0</v>
      </c>
      <c r="I546" s="5" t="s">
        <v>156</v>
      </c>
      <c r="J546" s="28" t="s">
        <v>36</v>
      </c>
      <c r="K546" s="29">
        <v>751.0</v>
      </c>
      <c r="L546" s="10" t="s">
        <v>18</v>
      </c>
      <c r="M546" s="6" t="str">
        <f t="shared" si="7"/>
        <v/>
      </c>
    </row>
    <row r="547" ht="22.5" customHeight="1">
      <c r="A547" s="5">
        <f t="shared" si="8"/>
        <v>542</v>
      </c>
      <c r="B547" s="5" t="s">
        <v>1311</v>
      </c>
      <c r="C547" s="5" t="s">
        <v>904</v>
      </c>
      <c r="D547" s="6" t="str">
        <f>IFERROR(__xludf.DUMMYFUNCTION("INDEX(IMPORTDATA(""https://raw.githubusercontent.com/lukes/ISO-3166-Countries-with-Regional-Codes/master/all/all.csv""), MATCH(C547, INDEX(IMPORTDATA(""https://raw.githubusercontent.com/lukes/ISO-3166-Countries-with-Regional-Codes/master/all/all.csv""), 0"&amp;", 1), 0), 2)"),"BD")</f>
        <v>BD</v>
      </c>
      <c r="E547" s="5">
        <v>1.845242418E9</v>
      </c>
      <c r="F547" s="5" t="s">
        <v>1312</v>
      </c>
      <c r="H547" s="7">
        <v>39476.0</v>
      </c>
      <c r="I547" s="5" t="s">
        <v>156</v>
      </c>
      <c r="J547" s="28" t="s">
        <v>36</v>
      </c>
      <c r="K547" s="29">
        <v>752.0</v>
      </c>
      <c r="L547" s="10" t="s">
        <v>18</v>
      </c>
      <c r="M547" s="6" t="str">
        <f t="shared" si="7"/>
        <v/>
      </c>
    </row>
    <row r="548" ht="22.5" customHeight="1">
      <c r="A548" s="5">
        <f t="shared" si="8"/>
        <v>543</v>
      </c>
      <c r="B548" s="5" t="s">
        <v>1313</v>
      </c>
      <c r="C548" s="5" t="s">
        <v>474</v>
      </c>
      <c r="D548" s="6" t="str">
        <f>IFERROR(__xludf.DUMMYFUNCTION("INDEX(IMPORTDATA(""https://raw.githubusercontent.com/lukes/ISO-3166-Countries-with-Regional-Codes/master/all/all.csv""), MATCH(C548, INDEX(IMPORTDATA(""https://raw.githubusercontent.com/lukes/ISO-3166-Countries-with-Regional-Codes/master/all/all.csv""), 0"&amp;", 1), 0), 2)"),"CN")</f>
        <v>CN</v>
      </c>
      <c r="E548" s="5" t="s">
        <v>1314</v>
      </c>
      <c r="F548" s="5" t="s">
        <v>1315</v>
      </c>
      <c r="G548" s="5">
        <v>4911622.0</v>
      </c>
      <c r="H548" s="7">
        <v>32779.0</v>
      </c>
      <c r="I548" s="5" t="s">
        <v>156</v>
      </c>
      <c r="J548" s="28" t="s">
        <v>36</v>
      </c>
      <c r="K548" s="29">
        <v>753.0</v>
      </c>
      <c r="L548" s="10" t="s">
        <v>35</v>
      </c>
      <c r="M548" s="6" t="str">
        <f t="shared" si="7"/>
        <v/>
      </c>
    </row>
    <row r="549" ht="22.5" customHeight="1">
      <c r="A549" s="5">
        <f t="shared" si="8"/>
        <v>544</v>
      </c>
      <c r="B549" s="5" t="s">
        <v>1316</v>
      </c>
      <c r="C549" s="5" t="s">
        <v>474</v>
      </c>
      <c r="D549" s="6" t="str">
        <f>IFERROR(__xludf.DUMMYFUNCTION("INDEX(IMPORTDATA(""https://raw.githubusercontent.com/lukes/ISO-3166-Countries-with-Regional-Codes/master/all/all.csv""), MATCH(C549, INDEX(IMPORTDATA(""https://raw.githubusercontent.com/lukes/ISO-3166-Countries-with-Regional-Codes/master/all/all.csv""), 0"&amp;", 1), 0), 2)"),"CN")</f>
        <v>CN</v>
      </c>
      <c r="E549" s="5" t="s">
        <v>1317</v>
      </c>
      <c r="F549" s="5" t="s">
        <v>1318</v>
      </c>
      <c r="G549" s="5">
        <v>5697406.0</v>
      </c>
      <c r="H549" s="12">
        <v>37106.0</v>
      </c>
      <c r="I549" s="5" t="s">
        <v>156</v>
      </c>
      <c r="J549" s="28" t="s">
        <v>36</v>
      </c>
      <c r="K549" s="29">
        <v>754.0</v>
      </c>
      <c r="L549" s="10" t="s">
        <v>18</v>
      </c>
      <c r="M549" s="6" t="str">
        <f t="shared" si="7"/>
        <v/>
      </c>
    </row>
    <row r="550" ht="22.5" customHeight="1">
      <c r="A550" s="5">
        <f t="shared" si="8"/>
        <v>545</v>
      </c>
      <c r="B550" s="5" t="s">
        <v>1319</v>
      </c>
      <c r="C550" s="5" t="s">
        <v>137</v>
      </c>
      <c r="D550" s="6" t="str">
        <f>IFERROR(__xludf.DUMMYFUNCTION("INDEX(IMPORTDATA(""https://raw.githubusercontent.com/lukes/ISO-3166-Countries-with-Regional-Codes/master/all/all.csv""), MATCH(C550, INDEX(IMPORTDATA(""https://raw.githubusercontent.com/lukes/ISO-3166-Countries-with-Regional-Codes/master/all/all.csv""), 0"&amp;", 1), 0), 2)"),"FR")</f>
        <v>FR</v>
      </c>
      <c r="E550" s="5" t="s">
        <v>1320</v>
      </c>
      <c r="F550" s="5" t="s">
        <v>1321</v>
      </c>
      <c r="H550" s="7">
        <v>31703.0</v>
      </c>
      <c r="I550" s="5" t="s">
        <v>156</v>
      </c>
      <c r="J550" s="28" t="s">
        <v>36</v>
      </c>
      <c r="K550" s="29">
        <v>755.0</v>
      </c>
      <c r="L550" s="10" t="s">
        <v>29</v>
      </c>
      <c r="M550" s="6" t="str">
        <f t="shared" si="7"/>
        <v/>
      </c>
    </row>
    <row r="551" ht="22.5" customHeight="1">
      <c r="A551" s="5">
        <f t="shared" si="8"/>
        <v>546</v>
      </c>
      <c r="B551" s="5" t="s">
        <v>1322</v>
      </c>
      <c r="C551" s="5" t="s">
        <v>137</v>
      </c>
      <c r="D551" s="6" t="str">
        <f>IFERROR(__xludf.DUMMYFUNCTION("INDEX(IMPORTDATA(""https://raw.githubusercontent.com/lukes/ISO-3166-Countries-with-Regional-Codes/master/all/all.csv""), MATCH(C551, INDEX(IMPORTDATA(""https://raw.githubusercontent.com/lukes/ISO-3166-Countries-with-Regional-Codes/master/all/all.csv""), 0"&amp;", 1), 0), 2)"),"FR")</f>
        <v>FR</v>
      </c>
      <c r="E551" s="25" t="s">
        <v>1323</v>
      </c>
      <c r="F551" s="5" t="s">
        <v>1324</v>
      </c>
      <c r="G551" s="5">
        <v>5257432.0</v>
      </c>
      <c r="H551" s="7">
        <v>33476.0</v>
      </c>
      <c r="I551" s="5" t="s">
        <v>156</v>
      </c>
      <c r="J551" s="28" t="s">
        <v>36</v>
      </c>
      <c r="K551" s="29">
        <v>756.0</v>
      </c>
      <c r="L551" s="10" t="s">
        <v>35</v>
      </c>
      <c r="M551" s="6" t="str">
        <f t="shared" si="7"/>
        <v/>
      </c>
    </row>
    <row r="552" ht="22.5" customHeight="1">
      <c r="A552" s="5">
        <f t="shared" si="8"/>
        <v>547</v>
      </c>
      <c r="B552" s="5" t="s">
        <v>1325</v>
      </c>
      <c r="C552" s="5" t="s">
        <v>137</v>
      </c>
      <c r="D552" s="6" t="str">
        <f>IFERROR(__xludf.DUMMYFUNCTION("INDEX(IMPORTDATA(""https://raw.githubusercontent.com/lukes/ISO-3166-Countries-with-Regional-Codes/master/all/all.csv""), MATCH(C552, INDEX(IMPORTDATA(""https://raw.githubusercontent.com/lukes/ISO-3166-Countries-with-Regional-Codes/master/all/all.csv""), 0"&amp;", 1), 0), 2)"),"FR")</f>
        <v>FR</v>
      </c>
      <c r="E552" s="5" t="s">
        <v>1326</v>
      </c>
      <c r="F552" s="5" t="s">
        <v>1327</v>
      </c>
      <c r="G552" s="5">
        <v>415.0</v>
      </c>
      <c r="H552" s="7">
        <v>36585.0</v>
      </c>
      <c r="I552" s="5" t="s">
        <v>156</v>
      </c>
      <c r="J552" s="28" t="s">
        <v>36</v>
      </c>
      <c r="K552" s="29">
        <v>757.0</v>
      </c>
      <c r="L552" s="10" t="s">
        <v>18</v>
      </c>
      <c r="M552" s="6" t="str">
        <f t="shared" si="7"/>
        <v/>
      </c>
    </row>
    <row r="553" ht="22.5" customHeight="1">
      <c r="A553" s="5">
        <f t="shared" si="8"/>
        <v>548</v>
      </c>
      <c r="B553" s="5" t="s">
        <v>1328</v>
      </c>
      <c r="C553" s="5" t="s">
        <v>366</v>
      </c>
      <c r="D553" s="6" t="str">
        <f>IFERROR(__xludf.DUMMYFUNCTION("INDEX(IMPORTDATA(""https://raw.githubusercontent.com/lukes/ISO-3166-Countries-with-Regional-Codes/master/all/all.csv""), MATCH(C553, INDEX(IMPORTDATA(""https://raw.githubusercontent.com/lukes/ISO-3166-Countries-with-Regional-Codes/master/all/all.csv""), 0"&amp;", 1), 0), 2)"),"IN")</f>
        <v>IN</v>
      </c>
      <c r="E553" s="5" t="s">
        <v>1329</v>
      </c>
      <c r="F553" s="5" t="s">
        <v>1330</v>
      </c>
      <c r="H553" s="7">
        <v>36390.0</v>
      </c>
      <c r="I553" s="5" t="s">
        <v>156</v>
      </c>
      <c r="J553" s="28" t="s">
        <v>36</v>
      </c>
      <c r="K553" s="29">
        <v>758.0</v>
      </c>
      <c r="L553" s="10" t="s">
        <v>29</v>
      </c>
      <c r="M553" s="6" t="str">
        <f t="shared" si="7"/>
        <v/>
      </c>
    </row>
    <row r="554" ht="22.5" customHeight="1">
      <c r="A554" s="5">
        <f t="shared" si="8"/>
        <v>549</v>
      </c>
      <c r="B554" s="5" t="s">
        <v>1331</v>
      </c>
      <c r="C554" s="5" t="s">
        <v>366</v>
      </c>
      <c r="D554" s="6" t="str">
        <f>IFERROR(__xludf.DUMMYFUNCTION("INDEX(IMPORTDATA(""https://raw.githubusercontent.com/lukes/ISO-3166-Countries-with-Regional-Codes/master/all/all.csv""), MATCH(C554, INDEX(IMPORTDATA(""https://raw.githubusercontent.com/lukes/ISO-3166-Countries-with-Regional-Codes/master/all/all.csv""), 0"&amp;", 1), 0), 2)"),"IN")</f>
        <v>IN</v>
      </c>
      <c r="E554" s="5" t="s">
        <v>1332</v>
      </c>
      <c r="F554" s="5" t="s">
        <v>1333</v>
      </c>
      <c r="G554" s="5">
        <v>5379987.0</v>
      </c>
      <c r="H554" s="12">
        <v>34946.0</v>
      </c>
      <c r="I554" s="5" t="s">
        <v>156</v>
      </c>
      <c r="J554" s="28" t="s">
        <v>36</v>
      </c>
      <c r="K554" s="29">
        <v>759.0</v>
      </c>
      <c r="L554" s="10" t="s">
        <v>35</v>
      </c>
      <c r="M554" s="6" t="str">
        <f t="shared" si="7"/>
        <v/>
      </c>
      <c r="O554" s="11" t="s">
        <v>1334</v>
      </c>
    </row>
    <row r="555" ht="22.5" customHeight="1">
      <c r="A555" s="5">
        <f t="shared" si="8"/>
        <v>550</v>
      </c>
      <c r="B555" s="5" t="s">
        <v>1335</v>
      </c>
      <c r="C555" s="5" t="s">
        <v>366</v>
      </c>
      <c r="D555" s="6" t="str">
        <f>IFERROR(__xludf.DUMMYFUNCTION("INDEX(IMPORTDATA(""https://raw.githubusercontent.com/lukes/ISO-3166-Countries-with-Regional-Codes/master/all/all.csv""), MATCH(C555, INDEX(IMPORTDATA(""https://raw.githubusercontent.com/lukes/ISO-3166-Countries-with-Regional-Codes/master/all/all.csv""), 0"&amp;", 1), 0), 2)"),"IN")</f>
        <v>IN</v>
      </c>
      <c r="E555" s="5" t="s">
        <v>1336</v>
      </c>
      <c r="F555" s="5" t="s">
        <v>1337</v>
      </c>
      <c r="G555" s="5">
        <v>5379990.0</v>
      </c>
      <c r="H555" s="12">
        <v>34886.0</v>
      </c>
      <c r="I555" s="5" t="s">
        <v>156</v>
      </c>
      <c r="J555" s="28" t="s">
        <v>36</v>
      </c>
      <c r="K555" s="29">
        <v>760.0</v>
      </c>
      <c r="L555" s="10" t="s">
        <v>18</v>
      </c>
      <c r="M555" s="6" t="str">
        <f t="shared" si="7"/>
        <v/>
      </c>
      <c r="O555" s="11" t="s">
        <v>1338</v>
      </c>
    </row>
    <row r="556" ht="22.5" customHeight="1">
      <c r="A556" s="5">
        <f t="shared" si="8"/>
        <v>551</v>
      </c>
      <c r="B556" s="5" t="s">
        <v>1339</v>
      </c>
      <c r="C556" s="5" t="s">
        <v>366</v>
      </c>
      <c r="D556" s="6" t="str">
        <f>IFERROR(__xludf.DUMMYFUNCTION("INDEX(IMPORTDATA(""https://raw.githubusercontent.com/lukes/ISO-3166-Countries-with-Regional-Codes/master/all/all.csv""), MATCH(C556, INDEX(IMPORTDATA(""https://raw.githubusercontent.com/lukes/ISO-3166-Countries-with-Regional-Codes/master/all/all.csv""), 0"&amp;", 1), 0), 2)"),"IN")</f>
        <v>IN</v>
      </c>
      <c r="E556" s="5" t="s">
        <v>1340</v>
      </c>
      <c r="F556" s="5" t="s">
        <v>1341</v>
      </c>
      <c r="G556" s="5">
        <v>5322027.0</v>
      </c>
      <c r="H556" s="7">
        <v>31593.0</v>
      </c>
      <c r="I556" s="5" t="s">
        <v>156</v>
      </c>
      <c r="J556" s="28" t="s">
        <v>36</v>
      </c>
      <c r="K556" s="29">
        <v>761.0</v>
      </c>
      <c r="L556" s="10" t="s">
        <v>35</v>
      </c>
      <c r="M556" s="6" t="str">
        <f t="shared" si="7"/>
        <v/>
      </c>
    </row>
    <row r="557" ht="22.5" customHeight="1">
      <c r="A557" s="5">
        <f t="shared" si="8"/>
        <v>552</v>
      </c>
      <c r="B557" s="5" t="s">
        <v>1342</v>
      </c>
      <c r="C557" s="5" t="s">
        <v>366</v>
      </c>
      <c r="D557" s="6" t="str">
        <f>IFERROR(__xludf.DUMMYFUNCTION("INDEX(IMPORTDATA(""https://raw.githubusercontent.com/lukes/ISO-3166-Countries-with-Regional-Codes/master/all/all.csv""), MATCH(C557, INDEX(IMPORTDATA(""https://raw.githubusercontent.com/lukes/ISO-3166-Countries-with-Regional-Codes/master/all/all.csv""), 0"&amp;", 1), 0), 2)"),"IN")</f>
        <v>IN</v>
      </c>
      <c r="E557" s="5" t="s">
        <v>1343</v>
      </c>
      <c r="F557" s="5" t="s">
        <v>1344</v>
      </c>
      <c r="G557" s="5">
        <v>6352789.0</v>
      </c>
      <c r="H557" s="7">
        <v>29691.0</v>
      </c>
      <c r="I557" s="5" t="s">
        <v>156</v>
      </c>
      <c r="J557" s="28" t="s">
        <v>36</v>
      </c>
      <c r="K557" s="29">
        <v>762.0</v>
      </c>
      <c r="L557" s="10" t="s">
        <v>18</v>
      </c>
      <c r="M557" s="6" t="str">
        <f t="shared" si="7"/>
        <v/>
      </c>
    </row>
    <row r="558" ht="22.5" customHeight="1">
      <c r="A558" s="5">
        <f t="shared" si="8"/>
        <v>553</v>
      </c>
      <c r="B558" s="5" t="s">
        <v>1345</v>
      </c>
      <c r="C558" s="5" t="s">
        <v>366</v>
      </c>
      <c r="D558" s="6" t="str">
        <f>IFERROR(__xludf.DUMMYFUNCTION("INDEX(IMPORTDATA(""https://raw.githubusercontent.com/lukes/ISO-3166-Countries-with-Regional-Codes/master/all/all.csv""), MATCH(C558, INDEX(IMPORTDATA(""https://raw.githubusercontent.com/lukes/ISO-3166-Countries-with-Regional-Codes/master/all/all.csv""), 0"&amp;", 1), 0), 2)"),"IN")</f>
        <v>IN</v>
      </c>
      <c r="E558" s="5" t="s">
        <v>1346</v>
      </c>
      <c r="F558" s="5" t="s">
        <v>1347</v>
      </c>
      <c r="G558" s="5">
        <v>5923984.0</v>
      </c>
      <c r="H558" s="7">
        <v>35809.0</v>
      </c>
      <c r="I558" s="5" t="s">
        <v>156</v>
      </c>
      <c r="J558" s="28" t="s">
        <v>36</v>
      </c>
      <c r="K558" s="29">
        <v>763.0</v>
      </c>
      <c r="L558" s="10" t="s">
        <v>18</v>
      </c>
      <c r="M558" s="6" t="str">
        <f t="shared" si="7"/>
        <v/>
      </c>
    </row>
    <row r="559" ht="22.5" customHeight="1">
      <c r="A559" s="5">
        <f t="shared" si="8"/>
        <v>554</v>
      </c>
      <c r="B559" s="5" t="s">
        <v>1348</v>
      </c>
      <c r="C559" s="5" t="s">
        <v>366</v>
      </c>
      <c r="D559" s="6" t="str">
        <f>IFERROR(__xludf.DUMMYFUNCTION("INDEX(IMPORTDATA(""https://raw.githubusercontent.com/lukes/ISO-3166-Countries-with-Regional-Codes/master/all/all.csv""), MATCH(C559, INDEX(IMPORTDATA(""https://raw.githubusercontent.com/lukes/ISO-3166-Countries-with-Regional-Codes/master/all/all.csv""), 0"&amp;", 1), 0), 2)"),"IN")</f>
        <v>IN</v>
      </c>
      <c r="E559" s="25" t="s">
        <v>534</v>
      </c>
      <c r="F559" s="5" t="s">
        <v>1349</v>
      </c>
      <c r="I559" s="5" t="s">
        <v>156</v>
      </c>
      <c r="J559" s="28" t="s">
        <v>36</v>
      </c>
      <c r="K559" s="29">
        <v>764.0</v>
      </c>
      <c r="L559" s="10" t="s">
        <v>18</v>
      </c>
      <c r="M559" s="6" t="str">
        <f t="shared" si="7"/>
        <v/>
      </c>
    </row>
    <row r="560" ht="22.5" customHeight="1">
      <c r="A560" s="5">
        <f t="shared" si="8"/>
        <v>555</v>
      </c>
      <c r="B560" s="5" t="s">
        <v>1350</v>
      </c>
      <c r="C560" s="5" t="s">
        <v>938</v>
      </c>
      <c r="D560" s="6" t="str">
        <f>IFERROR(__xludf.DUMMYFUNCTION("INDEX(IMPORTDATA(""https://raw.githubusercontent.com/lukes/ISO-3166-Countries-with-Regional-Codes/master/all/all.csv""), MATCH(C560, INDEX(IMPORTDATA(""https://raw.githubusercontent.com/lukes/ISO-3166-Countries-with-Regional-Codes/master/all/all.csv""), 0"&amp;", 1), 0), 2)"),"JP")</f>
        <v>JP</v>
      </c>
      <c r="E560" s="5" t="s">
        <v>1351</v>
      </c>
      <c r="F560" s="5" t="s">
        <v>1352</v>
      </c>
      <c r="G560" s="5">
        <v>1212575.0</v>
      </c>
      <c r="H560" s="7">
        <v>26710.0</v>
      </c>
      <c r="I560" s="5" t="s">
        <v>156</v>
      </c>
      <c r="J560" s="28" t="s">
        <v>36</v>
      </c>
      <c r="K560" s="29">
        <v>765.0</v>
      </c>
      <c r="L560" s="10" t="s">
        <v>35</v>
      </c>
      <c r="M560" s="6" t="str">
        <f t="shared" si="7"/>
        <v/>
      </c>
    </row>
    <row r="561" ht="22.5" customHeight="1">
      <c r="A561" s="5">
        <f t="shared" si="8"/>
        <v>556</v>
      </c>
      <c r="B561" s="5" t="s">
        <v>1353</v>
      </c>
      <c r="C561" s="5" t="s">
        <v>938</v>
      </c>
      <c r="D561" s="6" t="str">
        <f>IFERROR(__xludf.DUMMYFUNCTION("INDEX(IMPORTDATA(""https://raw.githubusercontent.com/lukes/ISO-3166-Countries-with-Regional-Codes/master/all/all.csv""), MATCH(C561, INDEX(IMPORTDATA(""https://raw.githubusercontent.com/lukes/ISO-3166-Countries-with-Regional-Codes/master/all/all.csv""), 0"&amp;", 1), 0), 2)"),"JP")</f>
        <v>JP</v>
      </c>
      <c r="E561" s="5" t="s">
        <v>1354</v>
      </c>
      <c r="F561" s="5" t="s">
        <v>1355</v>
      </c>
      <c r="G561" s="5">
        <v>4606787.0</v>
      </c>
      <c r="H561" s="7">
        <v>32046.0</v>
      </c>
      <c r="I561" s="5" t="s">
        <v>156</v>
      </c>
      <c r="J561" s="28" t="s">
        <v>36</v>
      </c>
      <c r="K561" s="29">
        <v>766.0</v>
      </c>
      <c r="L561" s="10" t="s">
        <v>35</v>
      </c>
      <c r="M561" s="6" t="str">
        <f t="shared" si="7"/>
        <v/>
      </c>
    </row>
    <row r="562" ht="22.5" customHeight="1">
      <c r="A562" s="5">
        <f t="shared" si="8"/>
        <v>557</v>
      </c>
      <c r="B562" s="5" t="s">
        <v>1356</v>
      </c>
      <c r="C562" s="5" t="s">
        <v>938</v>
      </c>
      <c r="D562" s="6" t="str">
        <f>IFERROR(__xludf.DUMMYFUNCTION("INDEX(IMPORTDATA(""https://raw.githubusercontent.com/lukes/ISO-3166-Countries-with-Regional-Codes/master/all/all.csv""), MATCH(C562, INDEX(IMPORTDATA(""https://raw.githubusercontent.com/lukes/ISO-3166-Countries-with-Regional-Codes/master/all/all.csv""), 0"&amp;", 1), 0), 2)"),"JP")</f>
        <v>JP</v>
      </c>
      <c r="E562" s="5" t="s">
        <v>1357</v>
      </c>
      <c r="F562" s="5" t="s">
        <v>1358</v>
      </c>
      <c r="G562" s="5">
        <v>4577782.0</v>
      </c>
      <c r="H562" s="7">
        <v>27106.0</v>
      </c>
      <c r="I562" s="5" t="s">
        <v>156</v>
      </c>
      <c r="J562" s="28" t="s">
        <v>36</v>
      </c>
      <c r="K562" s="29">
        <v>767.0</v>
      </c>
      <c r="L562" s="10" t="s">
        <v>18</v>
      </c>
      <c r="M562" s="6" t="str">
        <f t="shared" si="7"/>
        <v/>
      </c>
    </row>
    <row r="563" ht="22.5" customHeight="1">
      <c r="A563" s="5">
        <f t="shared" si="8"/>
        <v>558</v>
      </c>
      <c r="B563" s="5" t="s">
        <v>1359</v>
      </c>
      <c r="C563" s="5" t="s">
        <v>14</v>
      </c>
      <c r="D563" s="6" t="str">
        <f>IFERROR(__xludf.DUMMYFUNCTION("INDEX(IMPORTDATA(""https://raw.githubusercontent.com/lukes/ISO-3166-Countries-with-Regional-Codes/master/all/all.csv""), MATCH(C563, INDEX(IMPORTDATA(""https://raw.githubusercontent.com/lukes/ISO-3166-Countries-with-Regional-Codes/master/all/all.csv""), 0"&amp;", 1), 0), 2)"),"NP")</f>
        <v>NP</v>
      </c>
      <c r="E563" s="5">
        <v>9.816975275E9</v>
      </c>
      <c r="F563" s="5" t="s">
        <v>1360</v>
      </c>
      <c r="G563" s="5" t="s">
        <v>955</v>
      </c>
      <c r="H563" s="7">
        <v>33721.0</v>
      </c>
      <c r="I563" s="5" t="s">
        <v>156</v>
      </c>
      <c r="J563" s="28" t="s">
        <v>36</v>
      </c>
      <c r="K563" s="29">
        <v>768.0</v>
      </c>
      <c r="L563" s="10" t="s">
        <v>18</v>
      </c>
      <c r="M563" s="6" t="str">
        <f t="shared" si="7"/>
        <v/>
      </c>
    </row>
    <row r="564" ht="22.5" customHeight="1">
      <c r="A564" s="5">
        <f t="shared" si="8"/>
        <v>559</v>
      </c>
      <c r="B564" s="5" t="s">
        <v>1361</v>
      </c>
      <c r="C564" s="5" t="s">
        <v>938</v>
      </c>
      <c r="D564" s="6" t="str">
        <f>IFERROR(__xludf.DUMMYFUNCTION("INDEX(IMPORTDATA(""https://raw.githubusercontent.com/lukes/ISO-3166-Countries-with-Regional-Codes/master/all/all.csv""), MATCH(C564, INDEX(IMPORTDATA(""https://raw.githubusercontent.com/lukes/ISO-3166-Countries-with-Regional-Codes/master/all/all.csv""), 0"&amp;", 1), 0), 2)"),"JP")</f>
        <v>JP</v>
      </c>
      <c r="E564" s="5">
        <v>8.19095682586E11</v>
      </c>
      <c r="F564" s="5" t="s">
        <v>1362</v>
      </c>
      <c r="G564" s="5">
        <v>1782351.0</v>
      </c>
      <c r="H564" s="7">
        <v>28811.0</v>
      </c>
      <c r="I564" s="5" t="s">
        <v>156</v>
      </c>
      <c r="J564" s="28" t="s">
        <v>36</v>
      </c>
      <c r="K564" s="29">
        <v>769.0</v>
      </c>
      <c r="L564" s="10" t="s">
        <v>18</v>
      </c>
      <c r="M564" s="6" t="str">
        <f t="shared" si="7"/>
        <v/>
      </c>
    </row>
    <row r="565" ht="22.5" customHeight="1">
      <c r="A565" s="5">
        <f t="shared" si="8"/>
        <v>560</v>
      </c>
      <c r="B565" s="5" t="s">
        <v>1363</v>
      </c>
      <c r="C565" s="5" t="s">
        <v>1364</v>
      </c>
      <c r="D565" s="6" t="str">
        <f>IFERROR(__xludf.DUMMYFUNCTION("INDEX(IMPORTDATA(""https://raw.githubusercontent.com/lukes/ISO-3166-Countries-with-Regional-Codes/master/all/all.csv""), MATCH(C565, INDEX(IMPORTDATA(""https://raw.githubusercontent.com/lukes/ISO-3166-Countries-with-Regional-Codes/master/all/all.csv""), 0"&amp;", 1), 0), 2)"),"PH")</f>
        <v>PH</v>
      </c>
      <c r="E565" s="5" t="s">
        <v>1365</v>
      </c>
      <c r="F565" s="5" t="s">
        <v>1366</v>
      </c>
      <c r="G565" s="5">
        <v>4686429.0</v>
      </c>
      <c r="H565" s="7">
        <v>31711.0</v>
      </c>
      <c r="I565" s="5" t="s">
        <v>156</v>
      </c>
      <c r="J565" s="28" t="s">
        <v>36</v>
      </c>
      <c r="K565" s="29">
        <v>770.0</v>
      </c>
      <c r="L565" s="10" t="s">
        <v>18</v>
      </c>
      <c r="M565" s="6" t="str">
        <f t="shared" si="7"/>
        <v/>
      </c>
    </row>
    <row r="566" ht="22.5" customHeight="1">
      <c r="A566" s="5">
        <f t="shared" si="8"/>
        <v>561</v>
      </c>
      <c r="B566" s="5" t="s">
        <v>1367</v>
      </c>
      <c r="C566" s="30" t="s">
        <v>1368</v>
      </c>
      <c r="D566" s="6" t="str">
        <f>IFERROR(__xludf.DUMMYFUNCTION("INDEX(IMPORTDATA(""https://raw.githubusercontent.com/lukes/ISO-3166-Countries-with-Regional-Codes/master/all/all.csv""), MATCH(C566, INDEX(IMPORTDATA(""https://raw.githubusercontent.com/lukes/ISO-3166-Countries-with-Regional-Codes/master/all/all.csv""), 0"&amp;", 1), 0), 2)"),"VN")</f>
        <v>VN</v>
      </c>
      <c r="E566" s="5" t="s">
        <v>1369</v>
      </c>
      <c r="F566" s="5" t="s">
        <v>1370</v>
      </c>
      <c r="G566" s="5">
        <v>3470189.0</v>
      </c>
      <c r="H566" s="7">
        <v>26799.0</v>
      </c>
      <c r="I566" s="5" t="s">
        <v>156</v>
      </c>
      <c r="J566" s="28" t="s">
        <v>36</v>
      </c>
      <c r="K566" s="29">
        <v>771.0</v>
      </c>
      <c r="L566" s="10" t="s">
        <v>29</v>
      </c>
      <c r="M566" s="6" t="str">
        <f t="shared" si="7"/>
        <v/>
      </c>
    </row>
    <row r="567" ht="22.5" customHeight="1">
      <c r="A567" s="5">
        <f t="shared" si="8"/>
        <v>562</v>
      </c>
      <c r="B567" s="5" t="s">
        <v>1371</v>
      </c>
      <c r="C567" s="5" t="s">
        <v>938</v>
      </c>
      <c r="D567" s="6" t="str">
        <f>IFERROR(__xludf.DUMMYFUNCTION("INDEX(IMPORTDATA(""https://raw.githubusercontent.com/lukes/ISO-3166-Countries-with-Regional-Codes/master/all/all.csv""), MATCH(C567, INDEX(IMPORTDATA(""https://raw.githubusercontent.com/lukes/ISO-3166-Countries-with-Regional-Codes/master/all/all.csv""), 0"&amp;", 1), 0), 2)"),"JP")</f>
        <v>JP</v>
      </c>
      <c r="E567" s="5" t="s">
        <v>1372</v>
      </c>
      <c r="F567" s="5" t="s">
        <v>1373</v>
      </c>
      <c r="G567" s="5">
        <v>4555371.0</v>
      </c>
      <c r="H567" s="7">
        <v>31001.0</v>
      </c>
      <c r="I567" s="5" t="s">
        <v>156</v>
      </c>
      <c r="J567" s="28" t="s">
        <v>36</v>
      </c>
      <c r="K567" s="29">
        <v>772.0</v>
      </c>
      <c r="L567" s="10" t="s">
        <v>35</v>
      </c>
      <c r="M567" s="6" t="str">
        <f t="shared" si="7"/>
        <v/>
      </c>
    </row>
    <row r="568" ht="22.5" customHeight="1">
      <c r="A568" s="5">
        <f t="shared" si="8"/>
        <v>563</v>
      </c>
      <c r="B568" s="5" t="s">
        <v>1374</v>
      </c>
      <c r="C568" s="5" t="s">
        <v>366</v>
      </c>
      <c r="D568" s="6" t="str">
        <f>IFERROR(__xludf.DUMMYFUNCTION("INDEX(IMPORTDATA(""https://raw.githubusercontent.com/lukes/ISO-3166-Countries-with-Regional-Codes/master/all/all.csv""), MATCH(C568, INDEX(IMPORTDATA(""https://raw.githubusercontent.com/lukes/ISO-3166-Countries-with-Regional-Codes/master/all/all.csv""), 0"&amp;", 1), 0), 2)"),"IN")</f>
        <v>IN</v>
      </c>
      <c r="E568" s="5" t="s">
        <v>1375</v>
      </c>
      <c r="F568" s="5" t="s">
        <v>1376</v>
      </c>
      <c r="G568" s="5">
        <v>7160616.0</v>
      </c>
      <c r="H568" s="7">
        <v>35398.0</v>
      </c>
      <c r="I568" s="5" t="s">
        <v>16</v>
      </c>
      <c r="J568" s="31" t="s">
        <v>46</v>
      </c>
      <c r="K568" s="32">
        <v>801.0</v>
      </c>
      <c r="L568" s="10" t="s">
        <v>35</v>
      </c>
      <c r="M568" s="6" t="str">
        <f t="shared" si="7"/>
        <v/>
      </c>
    </row>
    <row r="569" ht="22.5" customHeight="1">
      <c r="A569" s="5">
        <f t="shared" si="8"/>
        <v>564</v>
      </c>
      <c r="B569" s="5" t="s">
        <v>1377</v>
      </c>
      <c r="C569" s="5" t="s">
        <v>147</v>
      </c>
      <c r="D569" s="6" t="str">
        <f>IFERROR(__xludf.DUMMYFUNCTION("INDEX(IMPORTDATA(""https://raw.githubusercontent.com/lukes/ISO-3166-Countries-with-Regional-Codes/master/all/all.csv""), MATCH(C569, INDEX(IMPORTDATA(""https://raw.githubusercontent.com/lukes/ISO-3166-Countries-with-Regional-Codes/master/all/all.csv""), 0"&amp;", 1), 0), 2)"),"GB")</f>
        <v>GB</v>
      </c>
      <c r="E569" s="5">
        <v>9.808384545E9</v>
      </c>
      <c r="F569" s="5" t="s">
        <v>1378</v>
      </c>
      <c r="G569" s="5">
        <v>5030137.0</v>
      </c>
      <c r="H569" s="7">
        <v>34818.0</v>
      </c>
      <c r="I569" s="5" t="s">
        <v>16</v>
      </c>
      <c r="J569" s="31" t="s">
        <v>46</v>
      </c>
      <c r="K569" s="32">
        <v>802.0</v>
      </c>
      <c r="L569" s="10" t="s">
        <v>18</v>
      </c>
      <c r="M569" s="6" t="str">
        <f t="shared" si="7"/>
        <v/>
      </c>
    </row>
    <row r="570" ht="22.5" customHeight="1">
      <c r="A570" s="5">
        <f t="shared" si="8"/>
        <v>565</v>
      </c>
      <c r="B570" s="5" t="s">
        <v>1379</v>
      </c>
      <c r="C570" s="5" t="s">
        <v>14</v>
      </c>
      <c r="D570" s="6" t="str">
        <f>IFERROR(__xludf.DUMMYFUNCTION("INDEX(IMPORTDATA(""https://raw.githubusercontent.com/lukes/ISO-3166-Countries-with-Regional-Codes/master/all/all.csv""), MATCH(C570, INDEX(IMPORTDATA(""https://raw.githubusercontent.com/lukes/ISO-3166-Countries-with-Regional-Codes/master/all/all.csv""), 0"&amp;", 1), 0), 2)"),"NP")</f>
        <v>NP</v>
      </c>
      <c r="E570" s="5">
        <v>9.840250585E9</v>
      </c>
      <c r="F570" s="5" t="s">
        <v>1380</v>
      </c>
      <c r="G570" s="5">
        <v>6997469.0</v>
      </c>
      <c r="H570" s="7">
        <v>37672.0</v>
      </c>
      <c r="I570" s="5" t="s">
        <v>156</v>
      </c>
      <c r="J570" s="31" t="s">
        <v>46</v>
      </c>
      <c r="K570" s="32">
        <v>803.0</v>
      </c>
      <c r="L570" s="10" t="s">
        <v>18</v>
      </c>
      <c r="M570" s="6" t="str">
        <f t="shared" si="7"/>
        <v/>
      </c>
    </row>
    <row r="571" ht="22.5" customHeight="1">
      <c r="A571" s="5">
        <f t="shared" si="8"/>
        <v>566</v>
      </c>
      <c r="B571" s="5" t="s">
        <v>1381</v>
      </c>
      <c r="C571" s="5" t="s">
        <v>14</v>
      </c>
      <c r="D571" s="6" t="str">
        <f>IFERROR(__xludf.DUMMYFUNCTION("INDEX(IMPORTDATA(""https://raw.githubusercontent.com/lukes/ISO-3166-Countries-with-Regional-Codes/master/all/all.csv""), MATCH(C571, INDEX(IMPORTDATA(""https://raw.githubusercontent.com/lukes/ISO-3166-Countries-with-Regional-Codes/master/all/all.csv""), 0"&amp;", 1), 0), 2)"),"NP")</f>
        <v>NP</v>
      </c>
      <c r="E571" s="5">
        <v>9.851313193E9</v>
      </c>
      <c r="F571" s="5" t="s">
        <v>1382</v>
      </c>
      <c r="G571" s="5">
        <v>6293633.0</v>
      </c>
      <c r="H571" s="12">
        <v>32453.0</v>
      </c>
      <c r="I571" s="5" t="s">
        <v>156</v>
      </c>
      <c r="J571" s="31" t="s">
        <v>46</v>
      </c>
      <c r="K571" s="32">
        <v>804.0</v>
      </c>
      <c r="L571" s="10" t="s">
        <v>18</v>
      </c>
      <c r="M571" s="6" t="str">
        <f t="shared" si="7"/>
        <v/>
      </c>
    </row>
    <row r="572" ht="22.5" customHeight="1">
      <c r="A572" s="5">
        <f t="shared" si="8"/>
        <v>567</v>
      </c>
      <c r="B572" s="5" t="s">
        <v>1383</v>
      </c>
      <c r="C572" s="5" t="s">
        <v>14</v>
      </c>
      <c r="D572" s="6" t="str">
        <f>IFERROR(__xludf.DUMMYFUNCTION("INDEX(IMPORTDATA(""https://raw.githubusercontent.com/lukes/ISO-3166-Countries-with-Regional-Codes/master/all/all.csv""), MATCH(C572, INDEX(IMPORTDATA(""https://raw.githubusercontent.com/lukes/ISO-3166-Countries-with-Regional-Codes/master/all/all.csv""), 0"&amp;", 1), 0), 2)"),"NP")</f>
        <v>NP</v>
      </c>
      <c r="E572" s="5">
        <v>9.84830049E9</v>
      </c>
      <c r="F572" s="5" t="s">
        <v>560</v>
      </c>
      <c r="H572" s="7">
        <v>34000.0</v>
      </c>
      <c r="I572" s="5" t="s">
        <v>156</v>
      </c>
      <c r="J572" s="31" t="s">
        <v>46</v>
      </c>
      <c r="K572" s="32">
        <v>805.0</v>
      </c>
      <c r="L572" s="10" t="s">
        <v>35</v>
      </c>
      <c r="M572" s="6" t="str">
        <f t="shared" si="7"/>
        <v/>
      </c>
    </row>
    <row r="573" ht="22.5" customHeight="1">
      <c r="A573" s="5">
        <f t="shared" si="8"/>
        <v>568</v>
      </c>
      <c r="B573" s="5" t="s">
        <v>1384</v>
      </c>
      <c r="C573" s="5" t="s">
        <v>14</v>
      </c>
      <c r="D573" s="6" t="str">
        <f>IFERROR(__xludf.DUMMYFUNCTION("INDEX(IMPORTDATA(""https://raw.githubusercontent.com/lukes/ISO-3166-Countries-with-Regional-Codes/master/all/all.csv""), MATCH(C573, INDEX(IMPORTDATA(""https://raw.githubusercontent.com/lukes/ISO-3166-Countries-with-Regional-Codes/master/all/all.csv""), 0"&amp;", 1), 0), 2)"),"NP")</f>
        <v>NP</v>
      </c>
      <c r="E573" s="5">
        <v>9.764615405E9</v>
      </c>
      <c r="F573" s="5" t="s">
        <v>1385</v>
      </c>
      <c r="G573" s="5">
        <v>6067112.0</v>
      </c>
      <c r="H573" s="7">
        <v>36541.0</v>
      </c>
      <c r="I573" s="5" t="s">
        <v>156</v>
      </c>
      <c r="J573" s="31" t="s">
        <v>46</v>
      </c>
      <c r="K573" s="32">
        <v>806.0</v>
      </c>
      <c r="L573" s="10" t="s">
        <v>18</v>
      </c>
      <c r="M573" s="6" t="str">
        <f t="shared" si="7"/>
        <v/>
      </c>
    </row>
    <row r="574" ht="22.5" customHeight="1">
      <c r="A574" s="5">
        <f t="shared" si="8"/>
        <v>569</v>
      </c>
      <c r="B574" s="5" t="s">
        <v>1386</v>
      </c>
      <c r="C574" s="5" t="s">
        <v>14</v>
      </c>
      <c r="D574" s="6" t="str">
        <f>IFERROR(__xludf.DUMMYFUNCTION("INDEX(IMPORTDATA(""https://raw.githubusercontent.com/lukes/ISO-3166-Countries-with-Regional-Codes/master/all/all.csv""), MATCH(C574, INDEX(IMPORTDATA(""https://raw.githubusercontent.com/lukes/ISO-3166-Countries-with-Regional-Codes/master/all/all.csv""), 0"&amp;", 1), 0), 2)"),"NP")</f>
        <v>NP</v>
      </c>
      <c r="E574" s="5">
        <v>9.863967716E9</v>
      </c>
      <c r="F574" s="5" t="s">
        <v>1387</v>
      </c>
      <c r="H574" s="7">
        <v>36123.0</v>
      </c>
      <c r="I574" s="5" t="s">
        <v>156</v>
      </c>
      <c r="J574" s="31" t="s">
        <v>46</v>
      </c>
      <c r="K574" s="32">
        <v>807.0</v>
      </c>
      <c r="L574" s="10" t="s">
        <v>18</v>
      </c>
      <c r="M574" s="6" t="str">
        <f t="shared" si="7"/>
        <v/>
      </c>
    </row>
    <row r="575" ht="22.5" customHeight="1">
      <c r="A575" s="5">
        <f t="shared" si="8"/>
        <v>570</v>
      </c>
      <c r="B575" s="5" t="s">
        <v>1388</v>
      </c>
      <c r="C575" s="5" t="s">
        <v>14</v>
      </c>
      <c r="D575" s="6" t="str">
        <f>IFERROR(__xludf.DUMMYFUNCTION("INDEX(IMPORTDATA(""https://raw.githubusercontent.com/lukes/ISO-3166-Countries-with-Regional-Codes/master/all/all.csv""), MATCH(C575, INDEX(IMPORTDATA(""https://raw.githubusercontent.com/lukes/ISO-3166-Countries-with-Regional-Codes/master/all/all.csv""), 0"&amp;", 1), 0), 2)"),"NP")</f>
        <v>NP</v>
      </c>
      <c r="E575" s="5" t="s">
        <v>1389</v>
      </c>
      <c r="F575" s="5" t="s">
        <v>1390</v>
      </c>
      <c r="H575" s="12">
        <v>31659.0</v>
      </c>
      <c r="I575" s="5" t="s">
        <v>156</v>
      </c>
      <c r="J575" s="31" t="s">
        <v>46</v>
      </c>
      <c r="K575" s="32">
        <v>808.0</v>
      </c>
      <c r="L575" s="10" t="s">
        <v>89</v>
      </c>
      <c r="M575" s="6" t="str">
        <f t="shared" si="7"/>
        <v/>
      </c>
    </row>
    <row r="576" ht="22.5" customHeight="1">
      <c r="A576" s="5">
        <f t="shared" si="8"/>
        <v>571</v>
      </c>
      <c r="B576" s="5" t="s">
        <v>1391</v>
      </c>
      <c r="C576" s="5" t="s">
        <v>14</v>
      </c>
      <c r="D576" s="6" t="str">
        <f>IFERROR(__xludf.DUMMYFUNCTION("INDEX(IMPORTDATA(""https://raw.githubusercontent.com/lukes/ISO-3166-Countries-with-Regional-Codes/master/all/all.csv""), MATCH(C576, INDEX(IMPORTDATA(""https://raw.githubusercontent.com/lukes/ISO-3166-Countries-with-Regional-Codes/master/all/all.csv""), 0"&amp;", 1), 0), 2)"),"NP")</f>
        <v>NP</v>
      </c>
      <c r="E576" s="5" t="s">
        <v>1392</v>
      </c>
      <c r="F576" s="5" t="s">
        <v>1393</v>
      </c>
      <c r="H576" s="12">
        <v>30963.0</v>
      </c>
      <c r="I576" s="5" t="s">
        <v>156</v>
      </c>
      <c r="J576" s="31" t="s">
        <v>46</v>
      </c>
      <c r="K576" s="32">
        <v>809.0</v>
      </c>
      <c r="L576" s="10" t="s">
        <v>89</v>
      </c>
      <c r="M576" s="6" t="str">
        <f t="shared" si="7"/>
        <v/>
      </c>
    </row>
    <row r="577" ht="22.5" customHeight="1">
      <c r="A577" s="5">
        <f t="shared" si="8"/>
        <v>572</v>
      </c>
      <c r="B577" s="5" t="s">
        <v>1394</v>
      </c>
      <c r="C577" s="5" t="s">
        <v>14</v>
      </c>
      <c r="D577" s="6" t="str">
        <f>IFERROR(__xludf.DUMMYFUNCTION("INDEX(IMPORTDATA(""https://raw.githubusercontent.com/lukes/ISO-3166-Countries-with-Regional-Codes/master/all/all.csv""), MATCH(C577, INDEX(IMPORTDATA(""https://raw.githubusercontent.com/lukes/ISO-3166-Countries-with-Regional-Codes/master/all/all.csv""), 0"&amp;", 1), 0), 2)"),"NP")</f>
        <v>NP</v>
      </c>
      <c r="E577" s="5" t="s">
        <v>1395</v>
      </c>
      <c r="F577" s="5" t="s">
        <v>1396</v>
      </c>
      <c r="H577" s="7">
        <v>27818.0</v>
      </c>
      <c r="I577" s="5" t="s">
        <v>156</v>
      </c>
      <c r="J577" s="31" t="s">
        <v>46</v>
      </c>
      <c r="K577" s="32">
        <v>810.0</v>
      </c>
      <c r="L577" s="10" t="s">
        <v>35</v>
      </c>
      <c r="M577" s="6" t="str">
        <f t="shared" si="7"/>
        <v/>
      </c>
    </row>
    <row r="578" ht="22.5" customHeight="1">
      <c r="A578" s="5">
        <f t="shared" si="8"/>
        <v>573</v>
      </c>
      <c r="B578" s="5" t="s">
        <v>1397</v>
      </c>
      <c r="C578" s="5" t="s">
        <v>14</v>
      </c>
      <c r="D578" s="6" t="str">
        <f>IFERROR(__xludf.DUMMYFUNCTION("INDEX(IMPORTDATA(""https://raw.githubusercontent.com/lukes/ISO-3166-Countries-with-Regional-Codes/master/all/all.csv""), MATCH(C578, INDEX(IMPORTDATA(""https://raw.githubusercontent.com/lukes/ISO-3166-Countries-with-Regional-Codes/master/all/all.csv""), 0"&amp;", 1), 0), 2)"),"NP")</f>
        <v>NP</v>
      </c>
      <c r="E578" s="5">
        <v>9.86443979E8</v>
      </c>
      <c r="F578" s="5" t="s">
        <v>1398</v>
      </c>
      <c r="G578" s="5" t="s">
        <v>1399</v>
      </c>
      <c r="H578" s="7">
        <v>36330.0</v>
      </c>
      <c r="I578" s="5" t="s">
        <v>156</v>
      </c>
      <c r="J578" s="31" t="s">
        <v>46</v>
      </c>
      <c r="K578" s="32">
        <v>811.0</v>
      </c>
      <c r="L578" s="10" t="s">
        <v>18</v>
      </c>
      <c r="M578" s="6" t="str">
        <f t="shared" si="7"/>
        <v/>
      </c>
    </row>
    <row r="579" ht="22.5" customHeight="1">
      <c r="A579" s="5">
        <f t="shared" si="8"/>
        <v>574</v>
      </c>
      <c r="B579" s="5" t="s">
        <v>1400</v>
      </c>
      <c r="C579" s="5" t="s">
        <v>14</v>
      </c>
      <c r="D579" s="6" t="str">
        <f>IFERROR(__xludf.DUMMYFUNCTION("INDEX(IMPORTDATA(""https://raw.githubusercontent.com/lukes/ISO-3166-Countries-with-Regional-Codes/master/all/all.csv""), MATCH(C579, INDEX(IMPORTDATA(""https://raw.githubusercontent.com/lukes/ISO-3166-Countries-with-Regional-Codes/master/all/all.csv""), 0"&amp;", 1), 0), 2)"),"NP")</f>
        <v>NP</v>
      </c>
      <c r="E579" s="5">
        <v>9.823143429E9</v>
      </c>
      <c r="F579" s="5" t="s">
        <v>1401</v>
      </c>
      <c r="H579" s="7">
        <v>39225.0</v>
      </c>
      <c r="I579" s="5" t="s">
        <v>156</v>
      </c>
      <c r="J579" s="31" t="s">
        <v>46</v>
      </c>
      <c r="K579" s="32">
        <v>812.0</v>
      </c>
      <c r="L579" s="10" t="s">
        <v>89</v>
      </c>
      <c r="M579" s="6" t="str">
        <f t="shared" si="7"/>
        <v/>
      </c>
    </row>
    <row r="580" ht="22.5" customHeight="1">
      <c r="A580" s="5">
        <f t="shared" si="8"/>
        <v>575</v>
      </c>
      <c r="B580" s="5" t="s">
        <v>1402</v>
      </c>
      <c r="C580" s="5" t="s">
        <v>14</v>
      </c>
      <c r="D580" s="6" t="str">
        <f>IFERROR(__xludf.DUMMYFUNCTION("INDEX(IMPORTDATA(""https://raw.githubusercontent.com/lukes/ISO-3166-Countries-with-Regional-Codes/master/all/all.csv""), MATCH(C580, INDEX(IMPORTDATA(""https://raw.githubusercontent.com/lukes/ISO-3166-Countries-with-Regional-Codes/master/all/all.csv""), 0"&amp;", 1), 0), 2)"),"NP")</f>
        <v>NP</v>
      </c>
      <c r="E580" s="5">
        <v>9.803073542E9</v>
      </c>
      <c r="F580" s="5" t="s">
        <v>1403</v>
      </c>
      <c r="G580" s="5">
        <v>5291707.0</v>
      </c>
      <c r="H580" s="7">
        <v>28488.0</v>
      </c>
      <c r="I580" s="5" t="s">
        <v>156</v>
      </c>
      <c r="J580" s="31" t="s">
        <v>46</v>
      </c>
      <c r="K580" s="32">
        <v>813.0</v>
      </c>
      <c r="L580" s="10" t="s">
        <v>35</v>
      </c>
      <c r="M580" s="6" t="str">
        <f t="shared" si="7"/>
        <v/>
      </c>
    </row>
    <row r="581" ht="22.5" customHeight="1">
      <c r="A581" s="5">
        <f t="shared" si="8"/>
        <v>576</v>
      </c>
      <c r="B581" s="5" t="s">
        <v>1404</v>
      </c>
      <c r="C581" s="5" t="s">
        <v>14</v>
      </c>
      <c r="D581" s="6" t="str">
        <f>IFERROR(__xludf.DUMMYFUNCTION("INDEX(IMPORTDATA(""https://raw.githubusercontent.com/lukes/ISO-3166-Countries-with-Regional-Codes/master/all/all.csv""), MATCH(C581, INDEX(IMPORTDATA(""https://raw.githubusercontent.com/lukes/ISO-3166-Countries-with-Regional-Codes/master/all/all.csv""), 0"&amp;", 1), 0), 2)"),"NP")</f>
        <v>NP</v>
      </c>
      <c r="E581" s="5" t="s">
        <v>1405</v>
      </c>
      <c r="F581" s="5" t="s">
        <v>1406</v>
      </c>
      <c r="G581" s="5">
        <v>4784644.0</v>
      </c>
      <c r="H581" s="7">
        <v>29569.0</v>
      </c>
      <c r="I581" s="5" t="s">
        <v>156</v>
      </c>
      <c r="J581" s="31" t="s">
        <v>46</v>
      </c>
      <c r="K581" s="32">
        <v>814.0</v>
      </c>
      <c r="L581" s="10" t="s">
        <v>18</v>
      </c>
      <c r="M581" s="6" t="str">
        <f t="shared" si="7"/>
        <v/>
      </c>
    </row>
    <row r="582" ht="22.5" customHeight="1">
      <c r="A582" s="5">
        <f t="shared" si="8"/>
        <v>577</v>
      </c>
      <c r="B582" s="5" t="s">
        <v>1407</v>
      </c>
      <c r="C582" s="5" t="s">
        <v>14</v>
      </c>
      <c r="D582" s="6" t="str">
        <f>IFERROR(__xludf.DUMMYFUNCTION("INDEX(IMPORTDATA(""https://raw.githubusercontent.com/lukes/ISO-3166-Countries-with-Regional-Codes/master/all/all.csv""), MATCH(C582, INDEX(IMPORTDATA(""https://raw.githubusercontent.com/lukes/ISO-3166-Countries-with-Regional-Codes/master/all/all.csv""), 0"&amp;", 1), 0), 2)"),"NP")</f>
        <v>NP</v>
      </c>
      <c r="E582" s="5" t="s">
        <v>1408</v>
      </c>
      <c r="F582" s="5" t="s">
        <v>1409</v>
      </c>
      <c r="G582" s="5">
        <v>5888589.0</v>
      </c>
      <c r="H582" s="12">
        <v>30569.0</v>
      </c>
      <c r="I582" s="5" t="s">
        <v>156</v>
      </c>
      <c r="J582" s="31" t="s">
        <v>46</v>
      </c>
      <c r="K582" s="32">
        <v>815.0</v>
      </c>
      <c r="L582" s="10" t="s">
        <v>29</v>
      </c>
      <c r="M582" s="6" t="str">
        <f t="shared" si="7"/>
        <v/>
      </c>
    </row>
    <row r="583" ht="22.5" customHeight="1">
      <c r="A583" s="5">
        <f t="shared" si="8"/>
        <v>578</v>
      </c>
      <c r="B583" s="5" t="s">
        <v>1410</v>
      </c>
      <c r="C583" s="5" t="s">
        <v>14</v>
      </c>
      <c r="D583" s="6" t="str">
        <f>IFERROR(__xludf.DUMMYFUNCTION("INDEX(IMPORTDATA(""https://raw.githubusercontent.com/lukes/ISO-3166-Countries-with-Regional-Codes/master/all/all.csv""), MATCH(C583, INDEX(IMPORTDATA(""https://raw.githubusercontent.com/lukes/ISO-3166-Countries-with-Regional-Codes/master/all/all.csv""), 0"&amp;", 1), 0), 2)"),"NP")</f>
        <v>NP</v>
      </c>
      <c r="E583" s="5">
        <v>9.808038269E9</v>
      </c>
      <c r="F583" s="5" t="s">
        <v>1411</v>
      </c>
      <c r="H583" s="7">
        <v>35088.0</v>
      </c>
      <c r="I583" s="5" t="s">
        <v>156</v>
      </c>
      <c r="J583" s="31" t="s">
        <v>46</v>
      </c>
      <c r="K583" s="32">
        <v>816.0</v>
      </c>
      <c r="L583" s="10" t="s">
        <v>18</v>
      </c>
      <c r="M583" s="6" t="str">
        <f t="shared" si="7"/>
        <v/>
      </c>
    </row>
    <row r="584" ht="22.5" customHeight="1">
      <c r="A584" s="5">
        <f t="shared" si="8"/>
        <v>579</v>
      </c>
      <c r="B584" s="5" t="s">
        <v>1412</v>
      </c>
      <c r="C584" s="5" t="s">
        <v>14</v>
      </c>
      <c r="D584" s="6" t="str">
        <f>IFERROR(__xludf.DUMMYFUNCTION("INDEX(IMPORTDATA(""https://raw.githubusercontent.com/lukes/ISO-3166-Countries-with-Regional-Codes/master/all/all.csv""), MATCH(C584, INDEX(IMPORTDATA(""https://raw.githubusercontent.com/lukes/ISO-3166-Countries-with-Regional-Codes/master/all/all.csv""), 0"&amp;", 1), 0), 2)"),"NP")</f>
        <v>NP</v>
      </c>
      <c r="E584" s="5">
        <v>9.84380505E9</v>
      </c>
      <c r="F584" s="5" t="s">
        <v>1413</v>
      </c>
      <c r="H584" s="7">
        <v>37301.0</v>
      </c>
      <c r="I584" s="5" t="s">
        <v>156</v>
      </c>
      <c r="J584" s="31" t="s">
        <v>46</v>
      </c>
      <c r="K584" s="32">
        <v>817.0</v>
      </c>
      <c r="L584" s="10" t="s">
        <v>89</v>
      </c>
      <c r="M584" s="6" t="str">
        <f t="shared" si="7"/>
        <v/>
      </c>
    </row>
    <row r="585" ht="22.5" customHeight="1">
      <c r="A585" s="5">
        <f t="shared" si="8"/>
        <v>580</v>
      </c>
      <c r="B585" s="5" t="s">
        <v>1414</v>
      </c>
      <c r="C585" s="5" t="s">
        <v>14</v>
      </c>
      <c r="D585" s="6" t="str">
        <f>IFERROR(__xludf.DUMMYFUNCTION("INDEX(IMPORTDATA(""https://raw.githubusercontent.com/lukes/ISO-3166-Countries-with-Regional-Codes/master/all/all.csv""), MATCH(C585, INDEX(IMPORTDATA(""https://raw.githubusercontent.com/lukes/ISO-3166-Countries-with-Regional-Codes/master/all/all.csv""), 0"&amp;", 1), 0), 2)"),"NP")</f>
        <v>NP</v>
      </c>
      <c r="E585" s="5" t="s">
        <v>1415</v>
      </c>
      <c r="F585" s="5" t="s">
        <v>1416</v>
      </c>
      <c r="G585" s="5">
        <v>7167047.0</v>
      </c>
      <c r="H585" s="7">
        <v>34964.0</v>
      </c>
      <c r="I585" s="5" t="s">
        <v>156</v>
      </c>
      <c r="J585" s="31" t="s">
        <v>46</v>
      </c>
      <c r="K585" s="32">
        <v>818.0</v>
      </c>
      <c r="L585" s="10" t="s">
        <v>35</v>
      </c>
      <c r="M585" s="6" t="str">
        <f t="shared" si="7"/>
        <v/>
      </c>
    </row>
    <row r="586" ht="22.5" customHeight="1">
      <c r="A586" s="5">
        <f t="shared" si="8"/>
        <v>581</v>
      </c>
      <c r="B586" s="5" t="s">
        <v>1417</v>
      </c>
      <c r="C586" s="5" t="s">
        <v>14</v>
      </c>
      <c r="D586" s="6" t="str">
        <f>IFERROR(__xludf.DUMMYFUNCTION("INDEX(IMPORTDATA(""https://raw.githubusercontent.com/lukes/ISO-3166-Countries-with-Regional-Codes/master/all/all.csv""), MATCH(C586, INDEX(IMPORTDATA(""https://raw.githubusercontent.com/lukes/ISO-3166-Countries-with-Regional-Codes/master/all/all.csv""), 0"&amp;", 1), 0), 2)"),"NP")</f>
        <v>NP</v>
      </c>
      <c r="E586" s="5">
        <v>9.869942698E9</v>
      </c>
      <c r="F586" s="5" t="s">
        <v>1418</v>
      </c>
      <c r="G586" s="5">
        <v>6810322.0</v>
      </c>
      <c r="H586" s="12">
        <v>33608.0</v>
      </c>
      <c r="I586" s="5" t="s">
        <v>156</v>
      </c>
      <c r="J586" s="31" t="s">
        <v>46</v>
      </c>
      <c r="K586" s="32">
        <v>819.0</v>
      </c>
      <c r="L586" s="10" t="s">
        <v>18</v>
      </c>
      <c r="M586" s="6" t="str">
        <f t="shared" si="7"/>
        <v/>
      </c>
    </row>
    <row r="587" ht="22.5" customHeight="1">
      <c r="A587" s="5">
        <f t="shared" si="8"/>
        <v>582</v>
      </c>
      <c r="B587" s="5" t="s">
        <v>1419</v>
      </c>
      <c r="C587" s="5" t="s">
        <v>14</v>
      </c>
      <c r="D587" s="6" t="str">
        <f>IFERROR(__xludf.DUMMYFUNCTION("INDEX(IMPORTDATA(""https://raw.githubusercontent.com/lukes/ISO-3166-Countries-with-Regional-Codes/master/all/all.csv""), MATCH(C587, INDEX(IMPORTDATA(""https://raw.githubusercontent.com/lukes/ISO-3166-Countries-with-Regional-Codes/master/all/all.csv""), 0"&amp;", 1), 0), 2)"),"NP")</f>
        <v>NP</v>
      </c>
      <c r="E587" s="5">
        <v>9.819752369E9</v>
      </c>
      <c r="F587" s="5" t="s">
        <v>1420</v>
      </c>
      <c r="G587" s="5">
        <v>6985674.0</v>
      </c>
      <c r="H587" s="7">
        <v>36512.0</v>
      </c>
      <c r="I587" s="5" t="s">
        <v>156</v>
      </c>
      <c r="J587" s="31" t="s">
        <v>46</v>
      </c>
      <c r="K587" s="32">
        <v>820.0</v>
      </c>
      <c r="L587" s="10" t="s">
        <v>18</v>
      </c>
      <c r="M587" s="6" t="str">
        <f t="shared" si="7"/>
        <v/>
      </c>
    </row>
    <row r="588" ht="22.5" customHeight="1">
      <c r="A588" s="5">
        <f t="shared" si="8"/>
        <v>583</v>
      </c>
      <c r="B588" s="5" t="s">
        <v>1421</v>
      </c>
      <c r="C588" s="5" t="s">
        <v>14</v>
      </c>
      <c r="D588" s="6" t="str">
        <f>IFERROR(__xludf.DUMMYFUNCTION("INDEX(IMPORTDATA(""https://raw.githubusercontent.com/lukes/ISO-3166-Countries-with-Regional-Codes/master/all/all.csv""), MATCH(C588, INDEX(IMPORTDATA(""https://raw.githubusercontent.com/lukes/ISO-3166-Countries-with-Regional-Codes/master/all/all.csv""), 0"&amp;", 1), 0), 2)"),"NP")</f>
        <v>NP</v>
      </c>
      <c r="E588" s="5">
        <v>9.851206543E9</v>
      </c>
      <c r="F588" s="5" t="s">
        <v>1422</v>
      </c>
      <c r="G588" s="5">
        <v>4807975.0</v>
      </c>
      <c r="H588" s="7">
        <v>33008.0</v>
      </c>
      <c r="I588" s="5" t="s">
        <v>156</v>
      </c>
      <c r="J588" s="31" t="s">
        <v>46</v>
      </c>
      <c r="K588" s="32">
        <v>821.0</v>
      </c>
      <c r="L588" s="10" t="s">
        <v>18</v>
      </c>
      <c r="M588" s="6" t="str">
        <f t="shared" si="7"/>
        <v/>
      </c>
    </row>
    <row r="589" ht="22.5" customHeight="1">
      <c r="A589" s="5">
        <f t="shared" si="8"/>
        <v>584</v>
      </c>
      <c r="B589" s="5" t="s">
        <v>1423</v>
      </c>
      <c r="C589" s="5" t="s">
        <v>14</v>
      </c>
      <c r="D589" s="6" t="str">
        <f>IFERROR(__xludf.DUMMYFUNCTION("INDEX(IMPORTDATA(""https://raw.githubusercontent.com/lukes/ISO-3166-Countries-with-Regional-Codes/master/all/all.csv""), MATCH(C589, INDEX(IMPORTDATA(""https://raw.githubusercontent.com/lukes/ISO-3166-Countries-with-Regional-Codes/master/all/all.csv""), 0"&amp;", 1), 0), 2)"),"NP")</f>
        <v>NP</v>
      </c>
      <c r="E589" s="5">
        <v>9.828728626E9</v>
      </c>
      <c r="F589" s="5" t="s">
        <v>1424</v>
      </c>
      <c r="G589" s="5">
        <v>6921807.0</v>
      </c>
      <c r="H589" s="12">
        <v>36319.0</v>
      </c>
      <c r="I589" s="5" t="s">
        <v>156</v>
      </c>
      <c r="J589" s="31" t="s">
        <v>46</v>
      </c>
      <c r="K589" s="32">
        <v>822.0</v>
      </c>
      <c r="L589" s="10" t="s">
        <v>35</v>
      </c>
      <c r="M589" s="6" t="str">
        <f t="shared" si="7"/>
        <v/>
      </c>
    </row>
    <row r="590" ht="22.5" customHeight="1">
      <c r="A590" s="5">
        <f t="shared" si="8"/>
        <v>585</v>
      </c>
      <c r="B590" s="5" t="s">
        <v>1425</v>
      </c>
      <c r="C590" s="5" t="s">
        <v>14</v>
      </c>
      <c r="D590" s="6" t="str">
        <f>IFERROR(__xludf.DUMMYFUNCTION("INDEX(IMPORTDATA(""https://raw.githubusercontent.com/lukes/ISO-3166-Countries-with-Regional-Codes/master/all/all.csv""), MATCH(C590, INDEX(IMPORTDATA(""https://raw.githubusercontent.com/lukes/ISO-3166-Countries-with-Regional-Codes/master/all/all.csv""), 0"&amp;", 1), 0), 2)"),"NP")</f>
        <v>NP</v>
      </c>
      <c r="E590" s="5" t="s">
        <v>1426</v>
      </c>
      <c r="F590" s="5" t="s">
        <v>1427</v>
      </c>
      <c r="H590" s="7">
        <v>29087.0</v>
      </c>
      <c r="I590" s="5" t="s">
        <v>156</v>
      </c>
      <c r="J590" s="31" t="s">
        <v>46</v>
      </c>
      <c r="K590" s="32">
        <v>823.0</v>
      </c>
      <c r="L590" s="10" t="s">
        <v>18</v>
      </c>
      <c r="M590" s="6" t="str">
        <f t="shared" si="7"/>
        <v/>
      </c>
    </row>
    <row r="591" ht="22.5" customHeight="1">
      <c r="A591" s="5">
        <f t="shared" si="8"/>
        <v>586</v>
      </c>
      <c r="B591" s="5" t="s">
        <v>1428</v>
      </c>
      <c r="C591" s="5" t="s">
        <v>14</v>
      </c>
      <c r="D591" s="6" t="str">
        <f>IFERROR(__xludf.DUMMYFUNCTION("INDEX(IMPORTDATA(""https://raw.githubusercontent.com/lukes/ISO-3166-Countries-with-Regional-Codes/master/all/all.csv""), MATCH(C591, INDEX(IMPORTDATA(""https://raw.githubusercontent.com/lukes/ISO-3166-Countries-with-Regional-Codes/master/all/all.csv""), 0"&amp;", 1), 0), 2)"),"NP")</f>
        <v>NP</v>
      </c>
      <c r="E591" s="5" t="s">
        <v>1429</v>
      </c>
      <c r="F591" s="5" t="s">
        <v>1430</v>
      </c>
      <c r="G591" s="5">
        <v>5185165.0</v>
      </c>
      <c r="H591" s="12">
        <v>29223.0</v>
      </c>
      <c r="I591" s="5" t="s">
        <v>156</v>
      </c>
      <c r="J591" s="31" t="s">
        <v>46</v>
      </c>
      <c r="K591" s="32">
        <v>824.0</v>
      </c>
      <c r="L591" s="10" t="s">
        <v>35</v>
      </c>
      <c r="M591" s="6" t="str">
        <f t="shared" si="7"/>
        <v/>
      </c>
    </row>
    <row r="592" ht="22.5" customHeight="1">
      <c r="A592" s="5">
        <f t="shared" si="8"/>
        <v>587</v>
      </c>
      <c r="B592" s="5" t="s">
        <v>1431</v>
      </c>
      <c r="C592" s="5" t="s">
        <v>14</v>
      </c>
      <c r="D592" s="6" t="str">
        <f>IFERROR(__xludf.DUMMYFUNCTION("INDEX(IMPORTDATA(""https://raw.githubusercontent.com/lukes/ISO-3166-Countries-with-Regional-Codes/master/all/all.csv""), MATCH(C592, INDEX(IMPORTDATA(""https://raw.githubusercontent.com/lukes/ISO-3166-Countries-with-Regional-Codes/master/all/all.csv""), 0"&amp;", 1), 0), 2)"),"NP")</f>
        <v>NP</v>
      </c>
      <c r="E592" s="5">
        <v>9.845387766E9</v>
      </c>
      <c r="F592" s="5" t="s">
        <v>1432</v>
      </c>
      <c r="G592" s="5">
        <v>4807917.0</v>
      </c>
      <c r="H592" s="7">
        <v>35169.0</v>
      </c>
      <c r="I592" s="5" t="s">
        <v>156</v>
      </c>
      <c r="J592" s="31" t="s">
        <v>46</v>
      </c>
      <c r="K592" s="32">
        <v>825.0</v>
      </c>
      <c r="L592" s="10" t="s">
        <v>18</v>
      </c>
      <c r="M592" s="6" t="str">
        <f t="shared" si="7"/>
        <v/>
      </c>
    </row>
    <row r="593" ht="22.5" customHeight="1">
      <c r="A593" s="5">
        <f t="shared" si="8"/>
        <v>588</v>
      </c>
      <c r="B593" s="5" t="s">
        <v>1433</v>
      </c>
      <c r="C593" s="5" t="s">
        <v>14</v>
      </c>
      <c r="D593" s="6" t="str">
        <f>IFERROR(__xludf.DUMMYFUNCTION("INDEX(IMPORTDATA(""https://raw.githubusercontent.com/lukes/ISO-3166-Countries-with-Regional-Codes/master/all/all.csv""), MATCH(C593, INDEX(IMPORTDATA(""https://raw.githubusercontent.com/lukes/ISO-3166-Countries-with-Regional-Codes/master/all/all.csv""), 0"&amp;", 1), 0), 2)"),"NP")</f>
        <v>NP</v>
      </c>
      <c r="E593" s="5" t="s">
        <v>1434</v>
      </c>
      <c r="F593" s="5" t="s">
        <v>1435</v>
      </c>
      <c r="G593" s="5">
        <v>6293643.0</v>
      </c>
      <c r="H593" s="7">
        <v>29249.0</v>
      </c>
      <c r="I593" s="5" t="s">
        <v>156</v>
      </c>
      <c r="J593" s="31" t="s">
        <v>46</v>
      </c>
      <c r="K593" s="32">
        <v>826.0</v>
      </c>
      <c r="L593" s="10" t="s">
        <v>89</v>
      </c>
      <c r="M593" s="6" t="str">
        <f t="shared" si="7"/>
        <v/>
      </c>
    </row>
    <row r="594" ht="22.5" customHeight="1">
      <c r="A594" s="5">
        <f t="shared" si="8"/>
        <v>589</v>
      </c>
      <c r="B594" s="5" t="s">
        <v>1436</v>
      </c>
      <c r="C594" s="5" t="s">
        <v>14</v>
      </c>
      <c r="D594" s="6" t="str">
        <f>IFERROR(__xludf.DUMMYFUNCTION("INDEX(IMPORTDATA(""https://raw.githubusercontent.com/lukes/ISO-3166-Countries-with-Regional-Codes/master/all/all.csv""), MATCH(C594, INDEX(IMPORTDATA(""https://raw.githubusercontent.com/lukes/ISO-3166-Countries-with-Regional-Codes/master/all/all.csv""), 0"&amp;", 1), 0), 2)"),"NP")</f>
        <v>NP</v>
      </c>
      <c r="E594" s="5">
        <v>9.804382464E9</v>
      </c>
      <c r="F594" s="5" t="s">
        <v>1437</v>
      </c>
      <c r="H594" s="7">
        <v>39005.0</v>
      </c>
      <c r="I594" s="5" t="s">
        <v>156</v>
      </c>
      <c r="J594" s="31" t="s">
        <v>46</v>
      </c>
      <c r="K594" s="32">
        <v>827.0</v>
      </c>
      <c r="L594" s="10" t="s">
        <v>18</v>
      </c>
      <c r="M594" s="6" t="str">
        <f t="shared" si="7"/>
        <v/>
      </c>
    </row>
    <row r="595" ht="22.5" customHeight="1">
      <c r="A595" s="5">
        <f t="shared" si="8"/>
        <v>590</v>
      </c>
      <c r="B595" s="5" t="s">
        <v>1438</v>
      </c>
      <c r="C595" s="5" t="s">
        <v>904</v>
      </c>
      <c r="D595" s="6" t="str">
        <f>IFERROR(__xludf.DUMMYFUNCTION("INDEX(IMPORTDATA(""https://raw.githubusercontent.com/lukes/ISO-3166-Countries-with-Regional-Codes/master/all/all.csv""), MATCH(C595, INDEX(IMPORTDATA(""https://raw.githubusercontent.com/lukes/ISO-3166-Countries-with-Regional-Codes/master/all/all.csv""), 0"&amp;", 1), 0), 2)"),"BD")</f>
        <v>BD</v>
      </c>
      <c r="E595" s="5" t="s">
        <v>1439</v>
      </c>
      <c r="F595" s="5" t="s">
        <v>1440</v>
      </c>
      <c r="G595" s="5">
        <v>6202982.0</v>
      </c>
      <c r="H595" s="12">
        <v>32143.0</v>
      </c>
      <c r="I595" s="5" t="s">
        <v>156</v>
      </c>
      <c r="J595" s="31" t="s">
        <v>46</v>
      </c>
      <c r="K595" s="32">
        <v>828.0</v>
      </c>
      <c r="L595" s="10" t="s">
        <v>18</v>
      </c>
      <c r="M595" s="6" t="str">
        <f t="shared" si="7"/>
        <v/>
      </c>
    </row>
    <row r="596" ht="22.5" customHeight="1">
      <c r="A596" s="5">
        <f t="shared" si="8"/>
        <v>591</v>
      </c>
      <c r="B596" s="5" t="s">
        <v>1441</v>
      </c>
      <c r="C596" s="5" t="s">
        <v>904</v>
      </c>
      <c r="D596" s="6" t="str">
        <f>IFERROR(__xludf.DUMMYFUNCTION("INDEX(IMPORTDATA(""https://raw.githubusercontent.com/lukes/ISO-3166-Countries-with-Regional-Codes/master/all/all.csv""), MATCH(C596, INDEX(IMPORTDATA(""https://raw.githubusercontent.com/lukes/ISO-3166-Countries-with-Regional-Codes/master/all/all.csv""), 0"&amp;", 1), 0), 2)"),"BD")</f>
        <v>BD</v>
      </c>
      <c r="E596" s="5" t="s">
        <v>1442</v>
      </c>
      <c r="F596" s="5" t="s">
        <v>1443</v>
      </c>
      <c r="G596" s="5">
        <v>7045322.0</v>
      </c>
      <c r="H596" s="7">
        <v>28851.0</v>
      </c>
      <c r="I596" s="5" t="s">
        <v>156</v>
      </c>
      <c r="J596" s="31" t="s">
        <v>46</v>
      </c>
      <c r="K596" s="32">
        <v>829.0</v>
      </c>
      <c r="L596" s="10" t="s">
        <v>35</v>
      </c>
      <c r="M596" s="6" t="str">
        <f t="shared" si="7"/>
        <v/>
      </c>
    </row>
    <row r="597" ht="22.5" customHeight="1">
      <c r="A597" s="5">
        <f t="shared" si="8"/>
        <v>592</v>
      </c>
      <c r="B597" s="5" t="s">
        <v>1444</v>
      </c>
      <c r="C597" s="5" t="s">
        <v>137</v>
      </c>
      <c r="D597" s="6" t="str">
        <f>IFERROR(__xludf.DUMMYFUNCTION("INDEX(IMPORTDATA(""https://raw.githubusercontent.com/lukes/ISO-3166-Countries-with-Regional-Codes/master/all/all.csv""), MATCH(C597, INDEX(IMPORTDATA(""https://raw.githubusercontent.com/lukes/ISO-3166-Countries-with-Regional-Codes/master/all/all.csv""), 0"&amp;", 1), 0), 2)"),"FR")</f>
        <v>FR</v>
      </c>
      <c r="E597" s="25" t="s">
        <v>1445</v>
      </c>
      <c r="F597" s="5" t="s">
        <v>1446</v>
      </c>
      <c r="G597" s="5">
        <v>4802939.0</v>
      </c>
      <c r="H597" s="7">
        <v>34383.0</v>
      </c>
      <c r="I597" s="5" t="s">
        <v>156</v>
      </c>
      <c r="J597" s="31" t="s">
        <v>46</v>
      </c>
      <c r="K597" s="32">
        <v>830.0</v>
      </c>
      <c r="L597" s="10" t="s">
        <v>18</v>
      </c>
      <c r="M597" s="6" t="str">
        <f t="shared" si="7"/>
        <v/>
      </c>
    </row>
    <row r="598" ht="22.5" customHeight="1">
      <c r="A598" s="5">
        <f t="shared" si="8"/>
        <v>593</v>
      </c>
      <c r="B598" s="5" t="s">
        <v>1447</v>
      </c>
      <c r="C598" s="5" t="s">
        <v>366</v>
      </c>
      <c r="D598" s="6" t="str">
        <f>IFERROR(__xludf.DUMMYFUNCTION("INDEX(IMPORTDATA(""https://raw.githubusercontent.com/lukes/ISO-3166-Countries-with-Regional-Codes/master/all/all.csv""), MATCH(C598, INDEX(IMPORTDATA(""https://raw.githubusercontent.com/lukes/ISO-3166-Countries-with-Regional-Codes/master/all/all.csv""), 0"&amp;", 1), 0), 2)"),"IN")</f>
        <v>IN</v>
      </c>
      <c r="E598" s="5" t="s">
        <v>1448</v>
      </c>
      <c r="F598" s="5" t="s">
        <v>1449</v>
      </c>
      <c r="G598" s="5">
        <v>5129944.0</v>
      </c>
      <c r="H598" s="7">
        <v>28139.0</v>
      </c>
      <c r="I598" s="5" t="s">
        <v>156</v>
      </c>
      <c r="J598" s="31" t="s">
        <v>46</v>
      </c>
      <c r="K598" s="32">
        <v>831.0</v>
      </c>
      <c r="L598" s="10" t="s">
        <v>18</v>
      </c>
      <c r="M598" s="6" t="str">
        <f t="shared" si="7"/>
        <v/>
      </c>
    </row>
    <row r="599" ht="22.5" customHeight="1">
      <c r="A599" s="5">
        <f t="shared" si="8"/>
        <v>594</v>
      </c>
      <c r="B599" s="5" t="s">
        <v>1450</v>
      </c>
      <c r="C599" s="5" t="s">
        <v>366</v>
      </c>
      <c r="D599" s="6" t="str">
        <f>IFERROR(__xludf.DUMMYFUNCTION("INDEX(IMPORTDATA(""https://raw.githubusercontent.com/lukes/ISO-3166-Countries-with-Regional-Codes/master/all/all.csv""), MATCH(C599, INDEX(IMPORTDATA(""https://raw.githubusercontent.com/lukes/ISO-3166-Countries-with-Regional-Codes/master/all/all.csv""), 0"&amp;", 1), 0), 2)"),"IN")</f>
        <v>IN</v>
      </c>
      <c r="E599" s="5" t="s">
        <v>1451</v>
      </c>
      <c r="F599" s="5" t="s">
        <v>1452</v>
      </c>
      <c r="G599" s="5">
        <v>4689113.0</v>
      </c>
      <c r="H599" s="7">
        <v>34908.0</v>
      </c>
      <c r="I599" s="5" t="s">
        <v>156</v>
      </c>
      <c r="J599" s="31" t="s">
        <v>46</v>
      </c>
      <c r="K599" s="32">
        <v>832.0</v>
      </c>
      <c r="L599" s="10" t="s">
        <v>35</v>
      </c>
      <c r="M599" s="6" t="str">
        <f t="shared" si="7"/>
        <v/>
      </c>
    </row>
    <row r="600" ht="22.5" customHeight="1">
      <c r="A600" s="5">
        <f t="shared" si="8"/>
        <v>595</v>
      </c>
      <c r="B600" s="5" t="s">
        <v>1453</v>
      </c>
      <c r="C600" s="5" t="s">
        <v>1454</v>
      </c>
      <c r="D600" s="6" t="str">
        <f>IFERROR(__xludf.DUMMYFUNCTION("INDEX(IMPORTDATA(""https://raw.githubusercontent.com/lukes/ISO-3166-Countries-with-Regional-Codes/master/all/all.csv""), MATCH(C600, INDEX(IMPORTDATA(""https://raw.githubusercontent.com/lukes/ISO-3166-Countries-with-Regional-Codes/master/all/all.csv""), 0"&amp;", 1), 0), 2)"),"MY")</f>
        <v>MY</v>
      </c>
      <c r="E600" s="5" t="s">
        <v>1455</v>
      </c>
      <c r="F600" s="5" t="s">
        <v>1456</v>
      </c>
      <c r="H600" s="7">
        <v>31070.0</v>
      </c>
      <c r="I600" s="5" t="s">
        <v>156</v>
      </c>
      <c r="J600" s="31" t="s">
        <v>46</v>
      </c>
      <c r="K600" s="32">
        <v>833.0</v>
      </c>
      <c r="L600" s="10" t="s">
        <v>56</v>
      </c>
      <c r="M600" s="6" t="str">
        <f t="shared" si="7"/>
        <v/>
      </c>
    </row>
    <row r="601" ht="22.5" customHeight="1">
      <c r="A601" s="5">
        <f t="shared" si="8"/>
        <v>596</v>
      </c>
      <c r="B601" s="5" t="s">
        <v>1457</v>
      </c>
      <c r="C601" s="5" t="s">
        <v>1364</v>
      </c>
      <c r="D601" s="6" t="str">
        <f>IFERROR(__xludf.DUMMYFUNCTION("INDEX(IMPORTDATA(""https://raw.githubusercontent.com/lukes/ISO-3166-Countries-with-Regional-Codes/master/all/all.csv""), MATCH(C601, INDEX(IMPORTDATA(""https://raw.githubusercontent.com/lukes/ISO-3166-Countries-with-Regional-Codes/master/all/all.csv""), 0"&amp;", 1), 0), 2)"),"PH")</f>
        <v>PH</v>
      </c>
      <c r="E601" s="5" t="s">
        <v>1458</v>
      </c>
      <c r="F601" s="5" t="s">
        <v>1459</v>
      </c>
      <c r="G601" s="5">
        <v>5140540.0</v>
      </c>
      <c r="H601" s="12">
        <v>33127.0</v>
      </c>
      <c r="I601" s="5" t="s">
        <v>156</v>
      </c>
      <c r="J601" s="31" t="s">
        <v>46</v>
      </c>
      <c r="K601" s="32">
        <v>834.0</v>
      </c>
      <c r="L601" s="10" t="s">
        <v>18</v>
      </c>
      <c r="M601" s="6" t="str">
        <f t="shared" si="7"/>
        <v/>
      </c>
    </row>
    <row r="602" ht="22.5" customHeight="1">
      <c r="A602" s="5">
        <f t="shared" si="8"/>
        <v>597</v>
      </c>
      <c r="B602" s="5" t="s">
        <v>1460</v>
      </c>
      <c r="C602" s="5" t="s">
        <v>134</v>
      </c>
      <c r="D602" s="6" t="str">
        <f>IFERROR(__xludf.DUMMYFUNCTION("INDEX(IMPORTDATA(""https://raw.githubusercontent.com/lukes/ISO-3166-Countries-with-Regional-Codes/master/all/all.csv""), MATCH(C602, INDEX(IMPORTDATA(""https://raw.githubusercontent.com/lukes/ISO-3166-Countries-with-Regional-Codes/master/all/all.csv""), 0"&amp;", 1), 0), 2)"),"AT")</f>
        <v>AT</v>
      </c>
      <c r="E602" s="5" t="s">
        <v>1461</v>
      </c>
      <c r="F602" s="5" t="s">
        <v>1462</v>
      </c>
      <c r="G602" s="5"/>
      <c r="H602" s="7">
        <v>24639.0</v>
      </c>
      <c r="I602" s="5" t="s">
        <v>16</v>
      </c>
      <c r="J602" s="31" t="s">
        <v>46</v>
      </c>
      <c r="K602" s="32">
        <v>835.0</v>
      </c>
      <c r="L602" s="10" t="s">
        <v>29</v>
      </c>
      <c r="M602" s="6" t="str">
        <f t="shared" si="7"/>
        <v/>
      </c>
    </row>
    <row r="603" ht="22.5" customHeight="1">
      <c r="A603" s="5">
        <f t="shared" si="8"/>
        <v>598</v>
      </c>
      <c r="B603" s="21" t="s">
        <v>1463</v>
      </c>
      <c r="C603" s="21" t="s">
        <v>14</v>
      </c>
      <c r="D603" s="6" t="str">
        <f>IFERROR(__xludf.DUMMYFUNCTION("INDEX(IMPORTDATA(""https://raw.githubusercontent.com/lukes/ISO-3166-Countries-with-Regional-Codes/master/all/all.csv""), MATCH(C603, INDEX(IMPORTDATA(""https://raw.githubusercontent.com/lukes/ISO-3166-Countries-with-Regional-Codes/master/all/all.csv""), 0"&amp;", 1), 0), 2)"),"NP")</f>
        <v>NP</v>
      </c>
      <c r="E603" s="5">
        <v>9.841074176E9</v>
      </c>
      <c r="F603" s="21" t="s">
        <v>1464</v>
      </c>
      <c r="G603" s="21"/>
      <c r="H603" s="23">
        <v>33696.0</v>
      </c>
      <c r="I603" s="21" t="s">
        <v>156</v>
      </c>
      <c r="J603" s="33" t="s">
        <v>46</v>
      </c>
      <c r="K603" s="32">
        <v>836.0</v>
      </c>
      <c r="L603" s="10" t="s">
        <v>18</v>
      </c>
      <c r="M603" s="6" t="str">
        <f t="shared" si="7"/>
        <v/>
      </c>
    </row>
    <row r="604" ht="22.5" customHeight="1">
      <c r="A604" s="5">
        <f t="shared" si="8"/>
        <v>599</v>
      </c>
      <c r="B604" s="21" t="s">
        <v>1465</v>
      </c>
      <c r="C604" s="21" t="s">
        <v>14</v>
      </c>
      <c r="D604" s="6" t="str">
        <f>IFERROR(__xludf.DUMMYFUNCTION("INDEX(IMPORTDATA(""https://raw.githubusercontent.com/lukes/ISO-3166-Countries-with-Regional-Codes/master/all/all.csv""), MATCH(C604, INDEX(IMPORTDATA(""https://raw.githubusercontent.com/lukes/ISO-3166-Countries-with-Regional-Codes/master/all/all.csv""), 0"&amp;", 1), 0), 2)"),"NP")</f>
        <v>NP</v>
      </c>
      <c r="E604" s="5" t="s">
        <v>1466</v>
      </c>
      <c r="F604" s="21" t="s">
        <v>1467</v>
      </c>
      <c r="G604" s="21"/>
      <c r="H604" s="23">
        <v>32998.0</v>
      </c>
      <c r="I604" s="21" t="s">
        <v>156</v>
      </c>
      <c r="J604" s="33" t="s">
        <v>46</v>
      </c>
      <c r="K604" s="32">
        <v>837.0</v>
      </c>
      <c r="L604" s="10" t="s">
        <v>35</v>
      </c>
      <c r="M604" s="6" t="str">
        <f t="shared" si="7"/>
        <v/>
      </c>
    </row>
    <row r="605" ht="22.5" customHeight="1">
      <c r="A605" s="5">
        <f t="shared" si="8"/>
        <v>600</v>
      </c>
      <c r="B605" s="21" t="s">
        <v>1468</v>
      </c>
      <c r="C605" s="21" t="s">
        <v>14</v>
      </c>
      <c r="D605" s="6" t="str">
        <f>IFERROR(__xludf.DUMMYFUNCTION("INDEX(IMPORTDATA(""https://raw.githubusercontent.com/lukes/ISO-3166-Countries-with-Regional-Codes/master/all/all.csv""), MATCH(C605, INDEX(IMPORTDATA(""https://raw.githubusercontent.com/lukes/ISO-3166-Countries-with-Regional-Codes/master/all/all.csv""), 0"&amp;", 1), 0), 2)"),"NP")</f>
        <v>NP</v>
      </c>
      <c r="E605" s="5">
        <v>9.842361329E9</v>
      </c>
      <c r="F605" s="21" t="s">
        <v>1469</v>
      </c>
      <c r="G605" s="21"/>
      <c r="H605" s="22">
        <v>36978.0</v>
      </c>
      <c r="I605" s="21" t="s">
        <v>156</v>
      </c>
      <c r="J605" s="33" t="s">
        <v>46</v>
      </c>
      <c r="K605" s="32">
        <v>838.0</v>
      </c>
      <c r="L605" s="10" t="s">
        <v>18</v>
      </c>
      <c r="M605" s="6" t="str">
        <f t="shared" si="7"/>
        <v/>
      </c>
    </row>
    <row r="606">
      <c r="K606" s="34"/>
    </row>
    <row r="607">
      <c r="K607" s="34"/>
    </row>
    <row r="608">
      <c r="K608" s="34"/>
    </row>
    <row r="609">
      <c r="K609" s="34"/>
    </row>
    <row r="610">
      <c r="A610" s="11">
        <v>1.0</v>
      </c>
      <c r="B610" s="11" t="s">
        <v>1470</v>
      </c>
      <c r="K610" s="34"/>
    </row>
    <row r="611">
      <c r="A611" s="11">
        <v>2.0</v>
      </c>
      <c r="B611" s="11" t="s">
        <v>1471</v>
      </c>
      <c r="K611" s="34"/>
    </row>
    <row r="612">
      <c r="K612" s="34"/>
    </row>
    <row r="613">
      <c r="K613" s="34"/>
    </row>
    <row r="614">
      <c r="K614" s="34"/>
    </row>
    <row r="615">
      <c r="K615" s="34"/>
    </row>
    <row r="616">
      <c r="K616" s="34"/>
    </row>
    <row r="617">
      <c r="K617" s="34"/>
    </row>
    <row r="618">
      <c r="K618" s="34"/>
    </row>
    <row r="619">
      <c r="K619" s="34"/>
    </row>
    <row r="620">
      <c r="K620" s="34"/>
    </row>
    <row r="621">
      <c r="K621" s="34"/>
    </row>
    <row r="622">
      <c r="K622" s="34"/>
    </row>
    <row r="623">
      <c r="K623" s="34"/>
    </row>
    <row r="624">
      <c r="K624" s="34"/>
    </row>
    <row r="625">
      <c r="K625" s="34"/>
    </row>
    <row r="626">
      <c r="K626" s="34"/>
    </row>
    <row r="627">
      <c r="K627" s="34"/>
    </row>
    <row r="628">
      <c r="K628" s="34"/>
    </row>
    <row r="629">
      <c r="K629" s="34"/>
    </row>
    <row r="630">
      <c r="K630" s="34"/>
    </row>
    <row r="631">
      <c r="K631" s="34"/>
    </row>
    <row r="632">
      <c r="K632" s="34"/>
    </row>
    <row r="633">
      <c r="K633" s="34"/>
    </row>
    <row r="634">
      <c r="K634" s="34"/>
    </row>
    <row r="635">
      <c r="K635" s="34"/>
    </row>
    <row r="636">
      <c r="K636" s="34"/>
    </row>
    <row r="637">
      <c r="K637" s="34"/>
    </row>
    <row r="638">
      <c r="K638" s="34"/>
    </row>
    <row r="639">
      <c r="K639" s="34"/>
    </row>
    <row r="640">
      <c r="K640" s="34"/>
    </row>
    <row r="641">
      <c r="K641" s="34"/>
    </row>
    <row r="642">
      <c r="K642" s="34"/>
    </row>
    <row r="643">
      <c r="K643" s="34"/>
    </row>
    <row r="644">
      <c r="K644" s="34"/>
    </row>
    <row r="645">
      <c r="K645" s="34"/>
    </row>
    <row r="646">
      <c r="K646" s="34"/>
    </row>
    <row r="647">
      <c r="K647" s="34"/>
    </row>
    <row r="648">
      <c r="K648" s="34"/>
    </row>
    <row r="649">
      <c r="K649" s="34"/>
    </row>
    <row r="650">
      <c r="K650" s="34"/>
    </row>
    <row r="651">
      <c r="K651" s="34"/>
    </row>
    <row r="652">
      <c r="K652" s="34"/>
    </row>
    <row r="653">
      <c r="K653" s="34"/>
    </row>
    <row r="654">
      <c r="K654" s="34"/>
    </row>
    <row r="655">
      <c r="K655" s="34"/>
    </row>
    <row r="656">
      <c r="K656" s="34"/>
    </row>
    <row r="657">
      <c r="K657" s="34"/>
    </row>
    <row r="658">
      <c r="K658" s="34"/>
    </row>
    <row r="659">
      <c r="K659" s="34"/>
    </row>
    <row r="660">
      <c r="K660" s="34"/>
    </row>
    <row r="661">
      <c r="K661" s="34"/>
    </row>
    <row r="662">
      <c r="K662" s="34"/>
    </row>
    <row r="663">
      <c r="K663" s="34"/>
    </row>
    <row r="664">
      <c r="K664" s="34"/>
    </row>
    <row r="665">
      <c r="K665" s="34"/>
    </row>
    <row r="666">
      <c r="K666" s="34"/>
    </row>
    <row r="667">
      <c r="K667" s="34"/>
    </row>
    <row r="668">
      <c r="K668" s="34"/>
    </row>
    <row r="669">
      <c r="K669" s="34"/>
    </row>
    <row r="670">
      <c r="K670" s="34"/>
    </row>
    <row r="671">
      <c r="K671" s="34"/>
    </row>
    <row r="672">
      <c r="K672" s="34"/>
    </row>
    <row r="673">
      <c r="K673" s="34"/>
    </row>
    <row r="674">
      <c r="K674" s="34"/>
    </row>
    <row r="675">
      <c r="K675" s="34"/>
    </row>
    <row r="676">
      <c r="K676" s="34"/>
    </row>
    <row r="677">
      <c r="K677" s="34"/>
    </row>
    <row r="678">
      <c r="K678" s="34"/>
    </row>
    <row r="679">
      <c r="K679" s="34"/>
    </row>
    <row r="680">
      <c r="K680" s="34"/>
    </row>
    <row r="681">
      <c r="K681" s="34"/>
    </row>
    <row r="682">
      <c r="K682" s="34"/>
    </row>
    <row r="683">
      <c r="K683" s="34"/>
    </row>
    <row r="684">
      <c r="K684" s="34"/>
    </row>
    <row r="685">
      <c r="K685" s="34"/>
    </row>
    <row r="686">
      <c r="K686" s="34"/>
    </row>
    <row r="687">
      <c r="K687" s="34"/>
    </row>
    <row r="688">
      <c r="K688" s="34"/>
    </row>
    <row r="689">
      <c r="K689" s="34"/>
    </row>
    <row r="690">
      <c r="K690" s="34"/>
    </row>
    <row r="691">
      <c r="K691" s="34"/>
    </row>
    <row r="692">
      <c r="K692" s="34"/>
    </row>
    <row r="693">
      <c r="K693" s="34"/>
    </row>
    <row r="694">
      <c r="K694" s="34"/>
    </row>
    <row r="695">
      <c r="K695" s="34"/>
    </row>
    <row r="696">
      <c r="K696" s="34"/>
    </row>
    <row r="697">
      <c r="K697" s="34"/>
    </row>
    <row r="698">
      <c r="K698" s="34"/>
    </row>
    <row r="699">
      <c r="K699" s="34"/>
    </row>
    <row r="700">
      <c r="K700" s="34"/>
    </row>
    <row r="701">
      <c r="K701" s="34"/>
    </row>
    <row r="702">
      <c r="K702" s="34"/>
    </row>
    <row r="703">
      <c r="K703" s="34"/>
    </row>
    <row r="704">
      <c r="K704" s="34"/>
    </row>
    <row r="705">
      <c r="K705" s="34"/>
    </row>
    <row r="706">
      <c r="K706" s="34"/>
    </row>
    <row r="707">
      <c r="K707" s="34"/>
    </row>
    <row r="708">
      <c r="K708" s="34"/>
    </row>
    <row r="709">
      <c r="K709" s="34"/>
    </row>
    <row r="710">
      <c r="K710" s="34"/>
    </row>
    <row r="711">
      <c r="K711" s="34"/>
    </row>
    <row r="712">
      <c r="K712" s="34"/>
    </row>
    <row r="713">
      <c r="K713" s="34"/>
    </row>
    <row r="714">
      <c r="K714" s="34"/>
    </row>
    <row r="715">
      <c r="K715" s="34"/>
    </row>
    <row r="716">
      <c r="K716" s="34"/>
    </row>
    <row r="717">
      <c r="K717" s="34"/>
    </row>
    <row r="718">
      <c r="K718" s="34"/>
    </row>
    <row r="719">
      <c r="K719" s="34"/>
    </row>
    <row r="720">
      <c r="K720" s="34"/>
    </row>
    <row r="721">
      <c r="K721" s="34"/>
    </row>
    <row r="722">
      <c r="K722" s="34"/>
    </row>
    <row r="723">
      <c r="K723" s="34"/>
    </row>
    <row r="724">
      <c r="K724" s="34"/>
    </row>
    <row r="725">
      <c r="K725" s="34"/>
    </row>
    <row r="726">
      <c r="K726" s="34"/>
    </row>
    <row r="727">
      <c r="K727" s="34"/>
    </row>
    <row r="728">
      <c r="K728" s="34"/>
    </row>
    <row r="729">
      <c r="K729" s="34"/>
    </row>
    <row r="730">
      <c r="K730" s="34"/>
    </row>
    <row r="731">
      <c r="K731" s="34"/>
    </row>
    <row r="732">
      <c r="K732" s="34"/>
    </row>
    <row r="733">
      <c r="K733" s="34"/>
    </row>
    <row r="734">
      <c r="K734" s="34"/>
    </row>
    <row r="735">
      <c r="K735" s="34"/>
    </row>
    <row r="736">
      <c r="K736" s="34"/>
    </row>
    <row r="737">
      <c r="K737" s="34"/>
    </row>
    <row r="738">
      <c r="K738" s="34"/>
    </row>
    <row r="739">
      <c r="K739" s="34"/>
    </row>
    <row r="740">
      <c r="K740" s="34"/>
    </row>
    <row r="741">
      <c r="K741" s="34"/>
    </row>
    <row r="742">
      <c r="K742" s="34"/>
    </row>
    <row r="743">
      <c r="K743" s="34"/>
    </row>
    <row r="744">
      <c r="K744" s="34"/>
    </row>
    <row r="745">
      <c r="K745" s="34"/>
    </row>
    <row r="746">
      <c r="K746" s="34"/>
    </row>
    <row r="747">
      <c r="K747" s="34"/>
    </row>
    <row r="748">
      <c r="K748" s="34"/>
    </row>
    <row r="749">
      <c r="K749" s="34"/>
    </row>
    <row r="750">
      <c r="K750" s="34"/>
    </row>
    <row r="751">
      <c r="K751" s="34"/>
    </row>
    <row r="752">
      <c r="K752" s="34"/>
    </row>
    <row r="753">
      <c r="K753" s="34"/>
    </row>
    <row r="754">
      <c r="K754" s="34"/>
    </row>
    <row r="755">
      <c r="K755" s="34"/>
    </row>
    <row r="756">
      <c r="K756" s="34"/>
    </row>
    <row r="757">
      <c r="K757" s="34"/>
    </row>
    <row r="758">
      <c r="K758" s="34"/>
    </row>
    <row r="759">
      <c r="K759" s="34"/>
    </row>
    <row r="760">
      <c r="K760" s="34"/>
    </row>
    <row r="761">
      <c r="K761" s="34"/>
    </row>
    <row r="762">
      <c r="K762" s="34"/>
    </row>
    <row r="763">
      <c r="K763" s="34"/>
    </row>
    <row r="764">
      <c r="K764" s="34"/>
    </row>
    <row r="765">
      <c r="K765" s="34"/>
    </row>
    <row r="766">
      <c r="K766" s="34"/>
    </row>
    <row r="767">
      <c r="K767" s="34"/>
    </row>
    <row r="768">
      <c r="K768" s="34"/>
    </row>
    <row r="769">
      <c r="K769" s="34"/>
    </row>
    <row r="770">
      <c r="K770" s="34"/>
    </row>
    <row r="771">
      <c r="K771" s="34"/>
    </row>
    <row r="772">
      <c r="K772" s="34"/>
    </row>
    <row r="773">
      <c r="K773" s="34"/>
    </row>
    <row r="774">
      <c r="K774" s="34"/>
    </row>
    <row r="775">
      <c r="K775" s="34"/>
    </row>
    <row r="776">
      <c r="K776" s="34"/>
    </row>
    <row r="777">
      <c r="K777" s="34"/>
    </row>
    <row r="778">
      <c r="K778" s="34"/>
    </row>
    <row r="779">
      <c r="K779" s="34"/>
    </row>
    <row r="780">
      <c r="K780" s="34"/>
    </row>
    <row r="781">
      <c r="K781" s="34"/>
    </row>
    <row r="782">
      <c r="K782" s="34"/>
    </row>
    <row r="783">
      <c r="K783" s="34"/>
    </row>
    <row r="784">
      <c r="K784" s="34"/>
    </row>
    <row r="785">
      <c r="K785" s="34"/>
    </row>
    <row r="786">
      <c r="K786" s="34"/>
    </row>
    <row r="787">
      <c r="K787" s="34"/>
    </row>
    <row r="788">
      <c r="K788" s="34"/>
    </row>
    <row r="789">
      <c r="K789" s="34"/>
    </row>
    <row r="790">
      <c r="K790" s="34"/>
    </row>
    <row r="791">
      <c r="K791" s="34"/>
    </row>
    <row r="792">
      <c r="K792" s="34"/>
    </row>
    <row r="793">
      <c r="K793" s="34"/>
    </row>
    <row r="794">
      <c r="K794" s="34"/>
    </row>
    <row r="795">
      <c r="K795" s="34"/>
    </row>
    <row r="796">
      <c r="K796" s="34"/>
    </row>
    <row r="797">
      <c r="K797" s="34"/>
    </row>
    <row r="798">
      <c r="K798" s="34"/>
    </row>
    <row r="799">
      <c r="K799" s="34"/>
    </row>
    <row r="800">
      <c r="K800" s="34"/>
    </row>
    <row r="801">
      <c r="K801" s="34"/>
    </row>
    <row r="802">
      <c r="K802" s="34"/>
    </row>
    <row r="803">
      <c r="K803" s="34"/>
    </row>
    <row r="804">
      <c r="K804" s="34"/>
    </row>
    <row r="805">
      <c r="K805" s="34"/>
    </row>
    <row r="806">
      <c r="K806" s="34"/>
    </row>
    <row r="807">
      <c r="K807" s="34"/>
    </row>
    <row r="808">
      <c r="K808" s="34"/>
    </row>
    <row r="809">
      <c r="K809" s="34"/>
    </row>
    <row r="810">
      <c r="K810" s="34"/>
    </row>
    <row r="811">
      <c r="K811" s="34"/>
    </row>
    <row r="812">
      <c r="K812" s="34"/>
    </row>
    <row r="813">
      <c r="K813" s="34"/>
    </row>
    <row r="814">
      <c r="K814" s="34"/>
    </row>
    <row r="815">
      <c r="K815" s="34"/>
    </row>
    <row r="816">
      <c r="K816" s="34"/>
    </row>
    <row r="817">
      <c r="K817" s="34"/>
    </row>
    <row r="818">
      <c r="K818" s="34"/>
    </row>
    <row r="819">
      <c r="K819" s="34"/>
    </row>
    <row r="820">
      <c r="K820" s="34"/>
    </row>
    <row r="821">
      <c r="K821" s="34"/>
    </row>
    <row r="822">
      <c r="K822" s="34"/>
    </row>
    <row r="823">
      <c r="K823" s="34"/>
    </row>
    <row r="824">
      <c r="K824" s="34"/>
    </row>
    <row r="825">
      <c r="K825" s="34"/>
    </row>
    <row r="826">
      <c r="K826" s="34"/>
    </row>
    <row r="827">
      <c r="K827" s="34"/>
    </row>
    <row r="828">
      <c r="K828" s="34"/>
    </row>
    <row r="829">
      <c r="K829" s="34"/>
    </row>
    <row r="830">
      <c r="K830" s="34"/>
    </row>
    <row r="831">
      <c r="K831" s="34"/>
    </row>
    <row r="832">
      <c r="K832" s="34"/>
    </row>
    <row r="833">
      <c r="K833" s="34"/>
    </row>
    <row r="834">
      <c r="K834" s="34"/>
    </row>
    <row r="835">
      <c r="K835" s="34"/>
    </row>
    <row r="836">
      <c r="K836" s="34"/>
    </row>
    <row r="837">
      <c r="K837" s="34"/>
    </row>
    <row r="838">
      <c r="K838" s="34"/>
    </row>
    <row r="839">
      <c r="K839" s="34"/>
    </row>
    <row r="840">
      <c r="K840" s="34"/>
    </row>
    <row r="841">
      <c r="K841" s="34"/>
    </row>
    <row r="842">
      <c r="K842" s="34"/>
    </row>
    <row r="843">
      <c r="K843" s="34"/>
    </row>
    <row r="844">
      <c r="K844" s="34"/>
    </row>
    <row r="845">
      <c r="K845" s="34"/>
    </row>
    <row r="846">
      <c r="K846" s="34"/>
    </row>
    <row r="847">
      <c r="K847" s="34"/>
    </row>
    <row r="848">
      <c r="K848" s="34"/>
    </row>
    <row r="849">
      <c r="K849" s="34"/>
    </row>
    <row r="850">
      <c r="K850" s="34"/>
    </row>
    <row r="851">
      <c r="K851" s="34"/>
    </row>
    <row r="852">
      <c r="K852" s="34"/>
    </row>
    <row r="853">
      <c r="K853" s="34"/>
    </row>
    <row r="854">
      <c r="K854" s="34"/>
    </row>
    <row r="855">
      <c r="K855" s="34"/>
    </row>
    <row r="856">
      <c r="K856" s="34"/>
    </row>
    <row r="857">
      <c r="K857" s="34"/>
    </row>
    <row r="858">
      <c r="K858" s="34"/>
    </row>
    <row r="859">
      <c r="K859" s="34"/>
    </row>
    <row r="860">
      <c r="K860" s="34"/>
    </row>
    <row r="861">
      <c r="K861" s="34"/>
    </row>
    <row r="862">
      <c r="K862" s="34"/>
    </row>
    <row r="863">
      <c r="K863" s="34"/>
    </row>
    <row r="864">
      <c r="K864" s="34"/>
    </row>
    <row r="865">
      <c r="K865" s="34"/>
    </row>
    <row r="866">
      <c r="K866" s="34"/>
    </row>
    <row r="867">
      <c r="K867" s="34"/>
    </row>
    <row r="868">
      <c r="K868" s="34"/>
    </row>
    <row r="869">
      <c r="K869" s="34"/>
    </row>
    <row r="870">
      <c r="K870" s="34"/>
    </row>
    <row r="871">
      <c r="K871" s="34"/>
    </row>
    <row r="872">
      <c r="K872" s="34"/>
    </row>
    <row r="873">
      <c r="K873" s="34"/>
    </row>
    <row r="874">
      <c r="K874" s="34"/>
    </row>
    <row r="875">
      <c r="K875" s="34"/>
    </row>
    <row r="876">
      <c r="K876" s="34"/>
    </row>
    <row r="877">
      <c r="K877" s="34"/>
    </row>
    <row r="878">
      <c r="K878" s="34"/>
    </row>
    <row r="879">
      <c r="K879" s="34"/>
    </row>
    <row r="880">
      <c r="K880" s="34"/>
    </row>
    <row r="881">
      <c r="K881" s="34"/>
    </row>
    <row r="882">
      <c r="K882" s="34"/>
    </row>
    <row r="883">
      <c r="K883" s="34"/>
    </row>
    <row r="884">
      <c r="K884" s="34"/>
    </row>
    <row r="885">
      <c r="K885" s="34"/>
    </row>
    <row r="886">
      <c r="K886" s="34"/>
    </row>
    <row r="887">
      <c r="K887" s="34"/>
    </row>
    <row r="888">
      <c r="K888" s="34"/>
    </row>
    <row r="889">
      <c r="K889" s="34"/>
    </row>
    <row r="890">
      <c r="K890" s="34"/>
    </row>
    <row r="891">
      <c r="K891" s="34"/>
    </row>
    <row r="892">
      <c r="K892" s="34"/>
    </row>
    <row r="893">
      <c r="K893" s="34"/>
    </row>
    <row r="894">
      <c r="K894" s="34"/>
    </row>
    <row r="895">
      <c r="K895" s="34"/>
    </row>
    <row r="896">
      <c r="K896" s="34"/>
    </row>
    <row r="897">
      <c r="K897" s="34"/>
    </row>
    <row r="898">
      <c r="K898" s="34"/>
    </row>
    <row r="899">
      <c r="K899" s="34"/>
    </row>
    <row r="900">
      <c r="K900" s="34"/>
    </row>
    <row r="901">
      <c r="K901" s="34"/>
    </row>
    <row r="902">
      <c r="K902" s="34"/>
    </row>
    <row r="903">
      <c r="K903" s="34"/>
    </row>
    <row r="904">
      <c r="K904" s="34"/>
    </row>
    <row r="905">
      <c r="K905" s="34"/>
    </row>
    <row r="906">
      <c r="K906" s="34"/>
    </row>
    <row r="907">
      <c r="K907" s="34"/>
    </row>
    <row r="908">
      <c r="K908" s="34"/>
    </row>
    <row r="909">
      <c r="K909" s="34"/>
    </row>
    <row r="910">
      <c r="K910" s="34"/>
    </row>
    <row r="911">
      <c r="K911" s="34"/>
    </row>
    <row r="912">
      <c r="K912" s="34"/>
    </row>
    <row r="913">
      <c r="K913" s="34"/>
    </row>
    <row r="914">
      <c r="K914" s="34"/>
    </row>
    <row r="915">
      <c r="K915" s="34"/>
    </row>
    <row r="916">
      <c r="K916" s="34"/>
    </row>
    <row r="917">
      <c r="K917" s="34"/>
    </row>
    <row r="918">
      <c r="K918" s="34"/>
    </row>
    <row r="919">
      <c r="K919" s="34"/>
    </row>
    <row r="920">
      <c r="K920" s="34"/>
    </row>
    <row r="921">
      <c r="K921" s="34"/>
    </row>
    <row r="922">
      <c r="K922" s="34"/>
    </row>
    <row r="923">
      <c r="K923" s="34"/>
    </row>
    <row r="924">
      <c r="K924" s="34"/>
    </row>
    <row r="925">
      <c r="K925" s="34"/>
    </row>
    <row r="926">
      <c r="K926" s="34"/>
    </row>
    <row r="927">
      <c r="K927" s="34"/>
    </row>
    <row r="928">
      <c r="K928" s="34"/>
    </row>
    <row r="929">
      <c r="K929" s="34"/>
    </row>
    <row r="930">
      <c r="K930" s="34"/>
    </row>
    <row r="931">
      <c r="K931" s="34"/>
    </row>
    <row r="932">
      <c r="K932" s="34"/>
    </row>
    <row r="933">
      <c r="K933" s="34"/>
    </row>
    <row r="934">
      <c r="K934" s="34"/>
    </row>
    <row r="935">
      <c r="K935" s="34"/>
    </row>
    <row r="936">
      <c r="K936" s="34"/>
    </row>
    <row r="937">
      <c r="K937" s="34"/>
    </row>
    <row r="938">
      <c r="K938" s="34"/>
    </row>
    <row r="939">
      <c r="K939" s="34"/>
    </row>
    <row r="940">
      <c r="K940" s="34"/>
    </row>
    <row r="941">
      <c r="K941" s="34"/>
    </row>
    <row r="942">
      <c r="K942" s="34"/>
    </row>
    <row r="943">
      <c r="K943" s="34"/>
    </row>
    <row r="944">
      <c r="K944" s="34"/>
    </row>
    <row r="945">
      <c r="K945" s="34"/>
    </row>
    <row r="946">
      <c r="K946" s="34"/>
    </row>
    <row r="947">
      <c r="K947" s="34"/>
    </row>
    <row r="948">
      <c r="K948" s="34"/>
    </row>
    <row r="949">
      <c r="K949" s="34"/>
    </row>
    <row r="950">
      <c r="K950" s="34"/>
    </row>
    <row r="951">
      <c r="K951" s="34"/>
    </row>
    <row r="952">
      <c r="K952" s="34"/>
    </row>
    <row r="953">
      <c r="K953" s="34"/>
    </row>
    <row r="954">
      <c r="K954" s="34"/>
    </row>
    <row r="955">
      <c r="K955" s="34"/>
    </row>
    <row r="956">
      <c r="K956" s="34"/>
    </row>
    <row r="957">
      <c r="K957" s="34"/>
    </row>
    <row r="958">
      <c r="K958" s="34"/>
    </row>
    <row r="959">
      <c r="K959" s="34"/>
    </row>
    <row r="960">
      <c r="K960" s="34"/>
    </row>
    <row r="961">
      <c r="K961" s="34"/>
    </row>
    <row r="962">
      <c r="K962" s="34"/>
    </row>
    <row r="963">
      <c r="K963" s="34"/>
    </row>
    <row r="964">
      <c r="K964" s="34"/>
    </row>
    <row r="965">
      <c r="K965" s="34"/>
    </row>
    <row r="966">
      <c r="K966" s="34"/>
    </row>
    <row r="967">
      <c r="K967" s="34"/>
    </row>
    <row r="968">
      <c r="K968" s="34"/>
    </row>
    <row r="969">
      <c r="K969" s="34"/>
    </row>
    <row r="970">
      <c r="K970" s="34"/>
    </row>
    <row r="971">
      <c r="K971" s="34"/>
    </row>
    <row r="972">
      <c r="K972" s="34"/>
    </row>
    <row r="973">
      <c r="K973" s="34"/>
    </row>
    <row r="974">
      <c r="K974" s="34"/>
    </row>
    <row r="975">
      <c r="K975" s="34"/>
    </row>
    <row r="976">
      <c r="K976" s="34"/>
    </row>
    <row r="977">
      <c r="K977" s="34"/>
    </row>
    <row r="978">
      <c r="K978" s="34"/>
    </row>
    <row r="979">
      <c r="K979" s="34"/>
    </row>
    <row r="980">
      <c r="K980" s="34"/>
    </row>
    <row r="981">
      <c r="K981" s="34"/>
    </row>
    <row r="982">
      <c r="K982" s="34"/>
    </row>
    <row r="983">
      <c r="K983" s="34"/>
    </row>
    <row r="984">
      <c r="K984" s="34"/>
    </row>
    <row r="985">
      <c r="K985" s="34"/>
    </row>
    <row r="986">
      <c r="K986" s="34"/>
    </row>
    <row r="987">
      <c r="K987" s="34"/>
    </row>
    <row r="988">
      <c r="K988" s="34"/>
    </row>
    <row r="989">
      <c r="K989" s="34"/>
    </row>
    <row r="990">
      <c r="K990" s="34"/>
    </row>
    <row r="991">
      <c r="K991" s="34"/>
    </row>
    <row r="992">
      <c r="K992" s="34"/>
    </row>
    <row r="993">
      <c r="K993" s="34"/>
    </row>
    <row r="994">
      <c r="K994" s="34"/>
    </row>
    <row r="995">
      <c r="K995" s="34"/>
    </row>
    <row r="996">
      <c r="K996" s="34"/>
    </row>
    <row r="997">
      <c r="K997" s="34"/>
    </row>
    <row r="998">
      <c r="K998" s="34"/>
    </row>
    <row r="999">
      <c r="K999" s="34"/>
    </row>
    <row r="1000">
      <c r="K1000" s="34"/>
    </row>
    <row r="1001">
      <c r="K1001" s="34"/>
    </row>
    <row r="1002">
      <c r="K1002" s="34"/>
    </row>
    <row r="1003">
      <c r="K1003" s="34"/>
    </row>
    <row r="1004">
      <c r="K1004" s="34"/>
    </row>
    <row r="1005">
      <c r="K1005" s="34"/>
    </row>
    <row r="1006">
      <c r="K1006" s="34"/>
    </row>
    <row r="1007">
      <c r="K1007" s="34"/>
    </row>
    <row r="1008">
      <c r="K1008" s="34"/>
    </row>
    <row r="1009">
      <c r="K1009" s="34"/>
    </row>
    <row r="1010">
      <c r="K1010" s="34"/>
    </row>
    <row r="1011">
      <c r="K1011" s="34"/>
    </row>
    <row r="1012">
      <c r="K1012" s="34"/>
    </row>
    <row r="1013">
      <c r="K1013" s="34"/>
    </row>
    <row r="1014">
      <c r="K1014" s="34"/>
    </row>
    <row r="1015">
      <c r="K1015" s="34"/>
    </row>
    <row r="1016">
      <c r="K1016" s="34"/>
    </row>
  </sheetData>
  <conditionalFormatting sqref="B164">
    <cfRule type="expression" dxfId="5" priority="1">
      <formula>COUNTIF(B:B, B164) &gt; 1</formula>
    </cfRule>
  </conditionalFormatting>
  <conditionalFormatting sqref="K1:K1024">
    <cfRule type="expression" dxfId="5" priority="2">
      <formula>COUNTIF(K:K, K1) &gt; 1</formula>
    </cfRule>
  </conditionalFormatting>
  <conditionalFormatting sqref="B1:B1024">
    <cfRule type="expression" dxfId="5" priority="3">
      <formula>COUNTIF(B:B, B1) &gt; 1</formula>
    </cfRule>
  </conditionalFormatting>
  <dataValidations>
    <dataValidation type="custom" allowBlank="1" showDropDown="1" sqref="K2:K605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3" max="3" width="25.75"/>
    <col customWidth="1" min="4" max="4" width="37.63"/>
    <col customWidth="1" min="5" max="5" width="15.38"/>
    <col customWidth="1" min="6" max="6" width="29.0"/>
    <col customWidth="1" min="10" max="10" width="16.13"/>
    <col customWidth="1" min="11" max="11" width="15.25"/>
    <col customWidth="1" min="12" max="12" width="17.0"/>
    <col customWidth="1" min="13" max="13" width="22.63"/>
    <col customWidth="1" min="14" max="14" width="15.0"/>
    <col customWidth="1" min="15" max="15" width="17.75"/>
    <col customWidth="1" min="16" max="16" width="24.75"/>
    <col customWidth="1" min="17" max="17" width="22.0"/>
    <col customWidth="1" min="18" max="18" width="22.25"/>
    <col customWidth="1" min="19" max="19" width="23.75"/>
    <col customWidth="1" min="20" max="20" width="20.88"/>
    <col customWidth="1" min="21" max="21" width="13.25"/>
    <col customWidth="1" min="22" max="22" width="16.25"/>
    <col customWidth="1" min="23" max="23" width="18.38"/>
    <col customWidth="1" min="25" max="25" width="17.25"/>
    <col customWidth="1" min="27" max="27" width="15.5"/>
    <col customWidth="1" min="28" max="28" width="18.25"/>
    <col customWidth="1" min="29" max="29" width="18.5"/>
    <col customWidth="1" min="30" max="30" width="16.63"/>
    <col customWidth="1" min="31" max="31" width="14.38"/>
    <col customWidth="1" min="32" max="32" width="17.5"/>
    <col customWidth="1" min="33" max="33" width="34.63"/>
  </cols>
  <sheetData>
    <row r="1" ht="22.5" customHeight="1">
      <c r="A1" s="1" t="s">
        <v>1481</v>
      </c>
      <c r="B1" s="1" t="s">
        <v>1482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1483</v>
      </c>
      <c r="L1" s="1" t="s">
        <v>1484</v>
      </c>
      <c r="M1" s="1" t="s">
        <v>1485</v>
      </c>
      <c r="N1" s="1" t="s">
        <v>1486</v>
      </c>
      <c r="O1" s="1" t="s">
        <v>1487</v>
      </c>
      <c r="P1" s="1" t="s">
        <v>1488</v>
      </c>
      <c r="Q1" s="1" t="s">
        <v>1489</v>
      </c>
      <c r="R1" s="1" t="s">
        <v>1490</v>
      </c>
      <c r="S1" s="1" t="s">
        <v>1491</v>
      </c>
      <c r="T1" s="1" t="s">
        <v>1492</v>
      </c>
      <c r="U1" s="1" t="s">
        <v>1493</v>
      </c>
      <c r="V1" s="1" t="s">
        <v>1494</v>
      </c>
      <c r="W1" s="1" t="s">
        <v>1495</v>
      </c>
      <c r="X1" s="1" t="s">
        <v>1496</v>
      </c>
      <c r="Y1" s="1" t="s">
        <v>1497</v>
      </c>
      <c r="Z1" s="1" t="s">
        <v>1498</v>
      </c>
      <c r="AA1" s="1" t="s">
        <v>1499</v>
      </c>
      <c r="AB1" s="1" t="s">
        <v>1500</v>
      </c>
      <c r="AC1" s="1" t="s">
        <v>1501</v>
      </c>
      <c r="AD1" s="1" t="s">
        <v>1502</v>
      </c>
      <c r="AE1" s="1" t="s">
        <v>10</v>
      </c>
      <c r="AF1" s="1" t="s">
        <v>1503</v>
      </c>
      <c r="AG1" s="1" t="s">
        <v>1504</v>
      </c>
    </row>
    <row r="2" ht="22.5" hidden="1" customHeight="1">
      <c r="A2" s="5" t="s">
        <v>1505</v>
      </c>
      <c r="B2" s="5" t="s">
        <v>1506</v>
      </c>
      <c r="C2" s="5" t="s">
        <v>1460</v>
      </c>
      <c r="D2" s="5" t="s">
        <v>134</v>
      </c>
      <c r="E2" s="25" t="s">
        <v>1461</v>
      </c>
      <c r="F2" s="5" t="s">
        <v>1462</v>
      </c>
      <c r="H2" s="35">
        <v>24639.0</v>
      </c>
      <c r="I2" s="5" t="s">
        <v>16</v>
      </c>
      <c r="J2" s="5" t="s">
        <v>46</v>
      </c>
      <c r="K2" s="5" t="b">
        <v>0</v>
      </c>
      <c r="L2" s="5" t="b">
        <v>0</v>
      </c>
      <c r="N2" s="5">
        <v>9000.0</v>
      </c>
      <c r="O2" s="5">
        <v>0.0</v>
      </c>
      <c r="P2" s="5">
        <v>0.0</v>
      </c>
      <c r="R2" s="5" t="b">
        <v>0</v>
      </c>
      <c r="U2" s="5" t="s">
        <v>1507</v>
      </c>
      <c r="V2" s="5" t="s">
        <v>1508</v>
      </c>
      <c r="W2" s="5" t="s">
        <v>1508</v>
      </c>
      <c r="X2" s="5" t="s">
        <v>1509</v>
      </c>
      <c r="Z2" s="5">
        <v>9000.0</v>
      </c>
      <c r="AB2" s="5">
        <v>0.0</v>
      </c>
      <c r="AC2" s="5" t="s">
        <v>1510</v>
      </c>
      <c r="AD2" s="5" t="s">
        <v>1511</v>
      </c>
      <c r="AE2" s="5">
        <v>1549.0</v>
      </c>
      <c r="AF2" s="36">
        <v>46120.34411471065</v>
      </c>
      <c r="AG2" s="5" t="s">
        <v>1512</v>
      </c>
    </row>
    <row r="3" ht="22.5" customHeight="1">
      <c r="A3" s="5" t="s">
        <v>1513</v>
      </c>
      <c r="B3" s="5" t="s">
        <v>1506</v>
      </c>
      <c r="C3" s="5" t="s">
        <v>383</v>
      </c>
      <c r="D3" s="5" t="s">
        <v>14</v>
      </c>
      <c r="E3" s="25" t="s">
        <v>301</v>
      </c>
      <c r="F3" s="5" t="s">
        <v>384</v>
      </c>
      <c r="H3" s="35">
        <v>24997.0</v>
      </c>
      <c r="I3" s="5" t="s">
        <v>156</v>
      </c>
      <c r="J3" s="5" t="s">
        <v>17</v>
      </c>
      <c r="K3" s="5" t="b">
        <v>0</v>
      </c>
      <c r="L3" s="5" t="b">
        <v>0</v>
      </c>
      <c r="N3" s="5">
        <v>1500.0</v>
      </c>
      <c r="O3" s="5">
        <v>0.0</v>
      </c>
      <c r="P3" s="5">
        <v>0.0</v>
      </c>
      <c r="R3" s="5" t="b">
        <v>0</v>
      </c>
      <c r="U3" s="5" t="s">
        <v>1514</v>
      </c>
      <c r="V3" s="5" t="s">
        <v>1508</v>
      </c>
      <c r="W3" s="5" t="s">
        <v>1508</v>
      </c>
      <c r="X3" s="5" t="s">
        <v>1509</v>
      </c>
      <c r="Z3" s="5">
        <v>1200.0</v>
      </c>
      <c r="AA3" s="5" t="s">
        <v>1515</v>
      </c>
      <c r="AB3" s="5">
        <v>300.0</v>
      </c>
      <c r="AC3" s="5" t="s">
        <v>1510</v>
      </c>
      <c r="AD3" s="5" t="s">
        <v>1511</v>
      </c>
      <c r="AE3" s="5">
        <v>4203.0</v>
      </c>
      <c r="AF3" s="36">
        <v>46120.330493877314</v>
      </c>
    </row>
    <row r="4" ht="22.5" customHeight="1">
      <c r="A4" s="5" t="s">
        <v>1516</v>
      </c>
      <c r="B4" s="5" t="s">
        <v>1506</v>
      </c>
      <c r="C4" s="5" t="s">
        <v>385</v>
      </c>
      <c r="D4" s="5" t="s">
        <v>14</v>
      </c>
      <c r="E4" s="25" t="s">
        <v>386</v>
      </c>
      <c r="F4" s="5" t="s">
        <v>387</v>
      </c>
      <c r="H4" s="35">
        <v>24997.0</v>
      </c>
      <c r="I4" s="5" t="s">
        <v>156</v>
      </c>
      <c r="J4" s="5" t="s">
        <v>17</v>
      </c>
      <c r="K4" s="5" t="b">
        <v>0</v>
      </c>
      <c r="L4" s="5" t="b">
        <v>0</v>
      </c>
      <c r="N4" s="5">
        <v>1500.0</v>
      </c>
      <c r="O4" s="5">
        <v>0.0</v>
      </c>
      <c r="P4" s="5">
        <v>0.0</v>
      </c>
      <c r="R4" s="5" t="b">
        <v>0</v>
      </c>
      <c r="U4" s="5" t="s">
        <v>1517</v>
      </c>
      <c r="V4" s="5" t="s">
        <v>1508</v>
      </c>
      <c r="W4" s="5" t="s">
        <v>1508</v>
      </c>
      <c r="X4" s="5" t="s">
        <v>1509</v>
      </c>
      <c r="Z4" s="5">
        <v>1200.0</v>
      </c>
      <c r="AA4" s="5" t="s">
        <v>1515</v>
      </c>
      <c r="AB4" s="5">
        <v>300.0</v>
      </c>
      <c r="AC4" s="5" t="s">
        <v>1510</v>
      </c>
      <c r="AE4" s="5">
        <v>4202.0</v>
      </c>
      <c r="AF4" s="36">
        <v>46120.32895861111</v>
      </c>
    </row>
    <row r="5" ht="22.5" customHeight="1">
      <c r="A5" s="5" t="s">
        <v>1518</v>
      </c>
      <c r="B5" s="5" t="s">
        <v>1506</v>
      </c>
      <c r="C5" s="5" t="s">
        <v>388</v>
      </c>
      <c r="D5" s="5" t="s">
        <v>14</v>
      </c>
      <c r="E5" s="5">
        <v>9.705535139E9</v>
      </c>
      <c r="F5" s="5" t="s">
        <v>389</v>
      </c>
      <c r="H5" s="35">
        <v>35987.0</v>
      </c>
      <c r="I5" s="5" t="s">
        <v>156</v>
      </c>
      <c r="J5" s="5" t="s">
        <v>17</v>
      </c>
      <c r="K5" s="5" t="b">
        <v>0</v>
      </c>
      <c r="L5" s="5" t="b">
        <v>0</v>
      </c>
      <c r="N5" s="5">
        <v>1500.0</v>
      </c>
      <c r="O5" s="5">
        <v>0.0</v>
      </c>
      <c r="P5" s="5">
        <v>0.0</v>
      </c>
      <c r="R5" s="5" t="b">
        <v>0</v>
      </c>
      <c r="U5" s="5" t="s">
        <v>1519</v>
      </c>
      <c r="V5" s="5" t="s">
        <v>1508</v>
      </c>
      <c r="W5" s="5" t="s">
        <v>1508</v>
      </c>
      <c r="X5" s="5" t="s">
        <v>1509</v>
      </c>
      <c r="Z5" s="5">
        <v>1500.0</v>
      </c>
      <c r="AB5" s="5">
        <v>0.0</v>
      </c>
      <c r="AC5" s="5" t="s">
        <v>1510</v>
      </c>
      <c r="AE5" s="5">
        <v>4201.0</v>
      </c>
      <c r="AF5" s="36">
        <v>46120.25644878472</v>
      </c>
    </row>
    <row r="6" ht="22.5" hidden="1" customHeight="1">
      <c r="A6" s="5" t="s">
        <v>1520</v>
      </c>
      <c r="B6" s="5" t="s">
        <v>1506</v>
      </c>
      <c r="C6" s="5" t="s">
        <v>1463</v>
      </c>
      <c r="D6" s="5" t="s">
        <v>14</v>
      </c>
      <c r="E6" s="5">
        <v>9.841074176E9</v>
      </c>
      <c r="F6" s="5" t="s">
        <v>1464</v>
      </c>
      <c r="H6" s="35">
        <v>33696.0</v>
      </c>
      <c r="I6" s="5" t="s">
        <v>156</v>
      </c>
      <c r="J6" s="5" t="s">
        <v>46</v>
      </c>
      <c r="K6" s="5" t="b">
        <v>0</v>
      </c>
      <c r="L6" s="5" t="b">
        <v>0</v>
      </c>
      <c r="N6" s="5">
        <v>9000.0</v>
      </c>
      <c r="O6" s="5">
        <v>0.0</v>
      </c>
      <c r="P6" s="5">
        <v>0.0</v>
      </c>
      <c r="R6" s="5" t="b">
        <v>0</v>
      </c>
      <c r="U6" s="5" t="s">
        <v>1519</v>
      </c>
      <c r="V6" s="5" t="s">
        <v>1508</v>
      </c>
      <c r="W6" s="5" t="s">
        <v>1508</v>
      </c>
      <c r="X6" s="5" t="s">
        <v>1509</v>
      </c>
      <c r="Z6" s="5">
        <v>9000.0</v>
      </c>
      <c r="AB6" s="5">
        <v>0.0</v>
      </c>
      <c r="AC6" s="5" t="s">
        <v>1510</v>
      </c>
      <c r="AD6" s="5" t="s">
        <v>1511</v>
      </c>
      <c r="AE6" s="5">
        <v>1547.0</v>
      </c>
      <c r="AF6" s="36">
        <v>46120.25305890046</v>
      </c>
    </row>
    <row r="7" ht="22.5" hidden="1" customHeight="1">
      <c r="A7" s="5" t="s">
        <v>1521</v>
      </c>
      <c r="B7" s="5" t="s">
        <v>1506</v>
      </c>
      <c r="C7" s="5" t="s">
        <v>1522</v>
      </c>
      <c r="D7" s="5" t="s">
        <v>14</v>
      </c>
      <c r="E7" s="25" t="s">
        <v>1466</v>
      </c>
      <c r="F7" s="5" t="s">
        <v>1467</v>
      </c>
      <c r="H7" s="35">
        <v>32998.0</v>
      </c>
      <c r="I7" s="5" t="s">
        <v>156</v>
      </c>
      <c r="J7" s="5" t="s">
        <v>46</v>
      </c>
      <c r="K7" s="5" t="b">
        <v>0</v>
      </c>
      <c r="L7" s="5" t="b">
        <v>0</v>
      </c>
      <c r="N7" s="5">
        <v>9000.0</v>
      </c>
      <c r="O7" s="5">
        <v>0.0</v>
      </c>
      <c r="P7" s="5">
        <v>0.0</v>
      </c>
      <c r="R7" s="5" t="b">
        <v>0</v>
      </c>
      <c r="U7" s="5" t="s">
        <v>1517</v>
      </c>
      <c r="V7" s="5" t="s">
        <v>1508</v>
      </c>
      <c r="W7" s="5" t="s">
        <v>1508</v>
      </c>
      <c r="X7" s="5" t="s">
        <v>1509</v>
      </c>
      <c r="Z7" s="5">
        <v>9000.0</v>
      </c>
      <c r="AB7" s="5">
        <v>0.0</v>
      </c>
      <c r="AC7" s="5" t="s">
        <v>1510</v>
      </c>
      <c r="AD7" s="5" t="s">
        <v>1511</v>
      </c>
      <c r="AE7" s="5">
        <v>1548.0</v>
      </c>
      <c r="AF7" s="36">
        <v>46120.25107438657</v>
      </c>
    </row>
    <row r="8" ht="22.5" hidden="1" customHeight="1">
      <c r="A8" s="5" t="s">
        <v>1523</v>
      </c>
      <c r="B8" s="5" t="s">
        <v>1506</v>
      </c>
      <c r="C8" s="5" t="s">
        <v>864</v>
      </c>
      <c r="D8" s="5" t="s">
        <v>14</v>
      </c>
      <c r="E8" s="5">
        <v>9.801999646E9</v>
      </c>
      <c r="F8" s="5" t="s">
        <v>865</v>
      </c>
      <c r="H8" s="35">
        <v>40223.0</v>
      </c>
      <c r="I8" s="5" t="s">
        <v>156</v>
      </c>
      <c r="J8" s="5" t="s">
        <v>39</v>
      </c>
      <c r="K8" s="5" t="b">
        <v>0</v>
      </c>
      <c r="L8" s="5" t="b">
        <v>0</v>
      </c>
      <c r="N8" s="5">
        <v>3000.0</v>
      </c>
      <c r="O8" s="5">
        <v>0.0</v>
      </c>
      <c r="P8" s="5">
        <v>0.0</v>
      </c>
      <c r="R8" s="5" t="b">
        <v>0</v>
      </c>
      <c r="U8" s="5" t="s">
        <v>1514</v>
      </c>
      <c r="V8" s="5" t="s">
        <v>1508</v>
      </c>
      <c r="W8" s="5" t="s">
        <v>1508</v>
      </c>
      <c r="X8" s="5" t="s">
        <v>1509</v>
      </c>
      <c r="Z8" s="5">
        <v>3000.0</v>
      </c>
      <c r="AB8" s="5">
        <v>0.0</v>
      </c>
      <c r="AC8" s="5" t="s">
        <v>1510</v>
      </c>
      <c r="AD8" s="5" t="s">
        <v>1511</v>
      </c>
      <c r="AE8" s="5">
        <v>3246.0</v>
      </c>
      <c r="AF8" s="36">
        <v>46120.16414435185</v>
      </c>
      <c r="AG8" s="5" t="s">
        <v>1524</v>
      </c>
    </row>
    <row r="9" ht="22.5" hidden="1" customHeight="1">
      <c r="A9" s="5" t="s">
        <v>1525</v>
      </c>
      <c r="B9" s="5" t="s">
        <v>1506</v>
      </c>
      <c r="C9" s="5" t="s">
        <v>866</v>
      </c>
      <c r="D9" s="5" t="s">
        <v>14</v>
      </c>
      <c r="E9" s="5">
        <v>9.818411584E9</v>
      </c>
      <c r="F9" s="5" t="s">
        <v>867</v>
      </c>
      <c r="H9" s="35">
        <v>36176.0</v>
      </c>
      <c r="I9" s="5" t="s">
        <v>156</v>
      </c>
      <c r="J9" s="5" t="s">
        <v>39</v>
      </c>
      <c r="K9" s="5" t="b">
        <v>0</v>
      </c>
      <c r="L9" s="5" t="b">
        <v>0</v>
      </c>
      <c r="N9" s="5">
        <v>3000.0</v>
      </c>
      <c r="O9" s="5">
        <v>0.0</v>
      </c>
      <c r="P9" s="5">
        <v>0.0</v>
      </c>
      <c r="R9" s="5" t="b">
        <v>0</v>
      </c>
      <c r="U9" s="5" t="s">
        <v>1514</v>
      </c>
      <c r="V9" s="5" t="s">
        <v>1508</v>
      </c>
      <c r="W9" s="5" t="s">
        <v>1508</v>
      </c>
      <c r="X9" s="5" t="s">
        <v>1509</v>
      </c>
      <c r="Z9" s="5">
        <v>2250.0</v>
      </c>
      <c r="AA9" s="5" t="s">
        <v>1526</v>
      </c>
      <c r="AB9" s="5">
        <v>750.0</v>
      </c>
      <c r="AC9" s="5" t="s">
        <v>1510</v>
      </c>
      <c r="AD9" s="5" t="s">
        <v>1527</v>
      </c>
      <c r="AE9" s="5">
        <v>3244.0</v>
      </c>
      <c r="AF9" s="36">
        <v>46119.702984386575</v>
      </c>
      <c r="AG9" s="5" t="s">
        <v>1528</v>
      </c>
    </row>
    <row r="10" ht="22.5" hidden="1" customHeight="1">
      <c r="A10" s="5" t="s">
        <v>1529</v>
      </c>
      <c r="B10" s="5" t="s">
        <v>1506</v>
      </c>
      <c r="C10" s="5" t="s">
        <v>871</v>
      </c>
      <c r="D10" s="5" t="s">
        <v>14</v>
      </c>
      <c r="E10" s="5">
        <v>9.818411584E9</v>
      </c>
      <c r="F10" s="5" t="s">
        <v>872</v>
      </c>
      <c r="H10" s="35">
        <v>36798.0</v>
      </c>
      <c r="I10" s="5" t="s">
        <v>156</v>
      </c>
      <c r="J10" s="5" t="s">
        <v>39</v>
      </c>
      <c r="K10" s="5" t="b">
        <v>0</v>
      </c>
      <c r="L10" s="5" t="b">
        <v>0</v>
      </c>
      <c r="N10" s="5">
        <v>3000.0</v>
      </c>
      <c r="O10" s="5">
        <v>0.0</v>
      </c>
      <c r="P10" s="5">
        <v>0.0</v>
      </c>
      <c r="R10" s="5" t="b">
        <v>0</v>
      </c>
      <c r="U10" s="5" t="s">
        <v>1514</v>
      </c>
      <c r="V10" s="5" t="s">
        <v>1508</v>
      </c>
      <c r="W10" s="5" t="s">
        <v>1508</v>
      </c>
      <c r="X10" s="5" t="s">
        <v>1509</v>
      </c>
      <c r="Z10" s="5">
        <v>2250.0</v>
      </c>
      <c r="AA10" s="5" t="s">
        <v>1526</v>
      </c>
      <c r="AB10" s="5">
        <v>750.0</v>
      </c>
      <c r="AC10" s="5" t="s">
        <v>1510</v>
      </c>
      <c r="AD10" s="5" t="s">
        <v>1527</v>
      </c>
      <c r="AE10" s="5">
        <v>3245.0</v>
      </c>
      <c r="AF10" s="36">
        <v>46119.70226903935</v>
      </c>
      <c r="AG10" s="5" t="s">
        <v>1530</v>
      </c>
    </row>
    <row r="11" ht="22.5" hidden="1" customHeight="1">
      <c r="A11" s="5" t="s">
        <v>1531</v>
      </c>
      <c r="B11" s="5" t="s">
        <v>1506</v>
      </c>
      <c r="C11" s="5" t="s">
        <v>1157</v>
      </c>
      <c r="D11" s="5" t="s">
        <v>14</v>
      </c>
      <c r="E11" s="25" t="s">
        <v>1114</v>
      </c>
      <c r="F11" s="5" t="s">
        <v>1115</v>
      </c>
      <c r="H11" s="35">
        <v>28976.0</v>
      </c>
      <c r="I11" s="5" t="s">
        <v>156</v>
      </c>
      <c r="J11" s="5" t="s">
        <v>42</v>
      </c>
      <c r="K11" s="5" t="b">
        <v>0</v>
      </c>
      <c r="L11" s="5" t="b">
        <v>0</v>
      </c>
      <c r="N11" s="5">
        <v>7500.0</v>
      </c>
      <c r="O11" s="5">
        <v>0.0</v>
      </c>
      <c r="P11" s="5">
        <v>0.0</v>
      </c>
      <c r="R11" s="5" t="b">
        <v>0</v>
      </c>
      <c r="U11" s="5" t="s">
        <v>1517</v>
      </c>
      <c r="V11" s="5" t="s">
        <v>1508</v>
      </c>
      <c r="W11" s="5" t="s">
        <v>1508</v>
      </c>
      <c r="X11" s="5" t="s">
        <v>1509</v>
      </c>
      <c r="Z11" s="5">
        <v>5625.0</v>
      </c>
      <c r="AA11" s="5" t="s">
        <v>955</v>
      </c>
      <c r="AB11" s="5">
        <v>1875.0</v>
      </c>
      <c r="AC11" s="5" t="s">
        <v>1510</v>
      </c>
      <c r="AD11" s="5" t="s">
        <v>1511</v>
      </c>
      <c r="AE11" s="5">
        <v>2145.0</v>
      </c>
      <c r="AF11" s="36">
        <v>46119.69910849537</v>
      </c>
      <c r="AG11" s="5" t="s">
        <v>1532</v>
      </c>
    </row>
    <row r="12" ht="22.5" customHeight="1">
      <c r="A12" s="5" t="s">
        <v>1533</v>
      </c>
      <c r="B12" s="5" t="s">
        <v>1506</v>
      </c>
      <c r="C12" s="5" t="s">
        <v>1534</v>
      </c>
      <c r="D12" s="5" t="s">
        <v>14</v>
      </c>
      <c r="E12" s="5">
        <v>9.80827844E9</v>
      </c>
      <c r="F12" s="5" t="s">
        <v>391</v>
      </c>
      <c r="H12" s="35">
        <v>46357.0</v>
      </c>
      <c r="I12" s="5" t="s">
        <v>156</v>
      </c>
      <c r="J12" s="5" t="s">
        <v>17</v>
      </c>
      <c r="K12" s="5" t="b">
        <v>0</v>
      </c>
      <c r="L12" s="5" t="b">
        <v>0</v>
      </c>
      <c r="N12" s="5">
        <v>1500.0</v>
      </c>
      <c r="O12" s="5">
        <v>0.0</v>
      </c>
      <c r="P12" s="5">
        <v>0.0</v>
      </c>
      <c r="R12" s="5" t="b">
        <v>0</v>
      </c>
      <c r="U12" s="5" t="s">
        <v>1519</v>
      </c>
      <c r="V12" s="5" t="s">
        <v>1508</v>
      </c>
      <c r="W12" s="5" t="s">
        <v>1508</v>
      </c>
      <c r="X12" s="5" t="s">
        <v>1509</v>
      </c>
      <c r="Z12" s="5">
        <v>1500.0</v>
      </c>
      <c r="AB12" s="5">
        <v>0.0</v>
      </c>
      <c r="AC12" s="5" t="s">
        <v>1510</v>
      </c>
      <c r="AE12" s="5">
        <v>4200.0</v>
      </c>
      <c r="AF12" s="36">
        <v>46119.51405925926</v>
      </c>
    </row>
    <row r="13" ht="22.5" customHeight="1">
      <c r="A13" s="5" t="s">
        <v>1535</v>
      </c>
      <c r="B13" s="5" t="s">
        <v>1506</v>
      </c>
      <c r="C13" s="5" t="s">
        <v>392</v>
      </c>
      <c r="D13" s="5" t="s">
        <v>14</v>
      </c>
      <c r="E13" s="5">
        <v>9.813677087E9</v>
      </c>
      <c r="F13" s="5" t="s">
        <v>393</v>
      </c>
      <c r="H13" s="35">
        <v>36456.0</v>
      </c>
      <c r="I13" s="5" t="s">
        <v>16</v>
      </c>
      <c r="J13" s="5" t="s">
        <v>17</v>
      </c>
      <c r="K13" s="5" t="b">
        <v>0</v>
      </c>
      <c r="L13" s="5" t="b">
        <v>0</v>
      </c>
      <c r="N13" s="5">
        <v>1500.0</v>
      </c>
      <c r="O13" s="5">
        <v>0.0</v>
      </c>
      <c r="P13" s="5">
        <v>0.0</v>
      </c>
      <c r="R13" s="5" t="b">
        <v>0</v>
      </c>
      <c r="U13" s="5" t="s">
        <v>1507</v>
      </c>
      <c r="V13" s="5" t="s">
        <v>1508</v>
      </c>
      <c r="W13" s="5" t="s">
        <v>1508</v>
      </c>
      <c r="X13" s="5" t="s">
        <v>1509</v>
      </c>
      <c r="Z13" s="5">
        <v>1500.0</v>
      </c>
      <c r="AB13" s="5">
        <v>0.0</v>
      </c>
      <c r="AC13" s="5" t="s">
        <v>1510</v>
      </c>
      <c r="AE13" s="5">
        <v>4196.0</v>
      </c>
      <c r="AF13" s="36">
        <v>46119.51401951389</v>
      </c>
    </row>
    <row r="14" ht="22.5" customHeight="1">
      <c r="A14" s="5" t="s">
        <v>1536</v>
      </c>
      <c r="B14" s="5" t="s">
        <v>1506</v>
      </c>
      <c r="C14" s="5" t="s">
        <v>394</v>
      </c>
      <c r="D14" s="5" t="s">
        <v>14</v>
      </c>
      <c r="E14" s="25" t="s">
        <v>395</v>
      </c>
      <c r="F14" s="5" t="s">
        <v>396</v>
      </c>
      <c r="H14" s="35">
        <v>39052.0</v>
      </c>
      <c r="I14" s="5" t="s">
        <v>156</v>
      </c>
      <c r="J14" s="5" t="s">
        <v>17</v>
      </c>
      <c r="K14" s="5" t="b">
        <v>0</v>
      </c>
      <c r="L14" s="5" t="b">
        <v>0</v>
      </c>
      <c r="N14" s="5">
        <v>1500.0</v>
      </c>
      <c r="O14" s="5">
        <v>0.0</v>
      </c>
      <c r="P14" s="5">
        <v>0.0</v>
      </c>
      <c r="R14" s="5" t="b">
        <v>0</v>
      </c>
      <c r="U14" s="5" t="s">
        <v>1519</v>
      </c>
      <c r="V14" s="5" t="s">
        <v>1508</v>
      </c>
      <c r="W14" s="5" t="s">
        <v>1508</v>
      </c>
      <c r="X14" s="5" t="s">
        <v>1509</v>
      </c>
      <c r="Z14" s="5">
        <v>1500.0</v>
      </c>
      <c r="AB14" s="5">
        <v>0.0</v>
      </c>
      <c r="AC14" s="5" t="s">
        <v>1510</v>
      </c>
      <c r="AE14" s="5">
        <v>4194.0</v>
      </c>
      <c r="AF14" s="36">
        <v>46119.51382163195</v>
      </c>
    </row>
    <row r="15" ht="22.5" customHeight="1">
      <c r="A15" s="5" t="s">
        <v>1537</v>
      </c>
      <c r="B15" s="5" t="s">
        <v>1506</v>
      </c>
      <c r="C15" s="5" t="s">
        <v>1538</v>
      </c>
      <c r="D15" s="5" t="s">
        <v>14</v>
      </c>
      <c r="E15" s="5">
        <v>9.779713761646E12</v>
      </c>
      <c r="F15" s="5" t="s">
        <v>398</v>
      </c>
      <c r="G15" s="5">
        <v>5858141.0</v>
      </c>
      <c r="H15" s="35">
        <v>30445.0</v>
      </c>
      <c r="I15" s="5" t="s">
        <v>16</v>
      </c>
      <c r="J15" s="5" t="s">
        <v>17</v>
      </c>
      <c r="K15" s="5" t="b">
        <v>0</v>
      </c>
      <c r="L15" s="5" t="b">
        <v>0</v>
      </c>
      <c r="N15" s="5">
        <v>1500.0</v>
      </c>
      <c r="O15" s="5">
        <v>0.0</v>
      </c>
      <c r="P15" s="5">
        <v>0.0</v>
      </c>
      <c r="R15" s="5" t="b">
        <v>0</v>
      </c>
      <c r="U15" s="5" t="s">
        <v>1507</v>
      </c>
      <c r="V15" s="5" t="s">
        <v>1508</v>
      </c>
      <c r="W15" s="5" t="s">
        <v>1508</v>
      </c>
      <c r="X15" s="5" t="s">
        <v>1509</v>
      </c>
      <c r="Z15" s="5">
        <v>1500.0</v>
      </c>
      <c r="AB15" s="5">
        <v>0.0</v>
      </c>
      <c r="AC15" s="5" t="s">
        <v>1510</v>
      </c>
      <c r="AE15" s="5">
        <v>4192.0</v>
      </c>
      <c r="AF15" s="36">
        <v>46119.26327565972</v>
      </c>
    </row>
    <row r="16" ht="22.5" hidden="1" customHeight="1">
      <c r="A16" s="5" t="s">
        <v>1539</v>
      </c>
      <c r="B16" s="5" t="s">
        <v>1506</v>
      </c>
      <c r="C16" s="5" t="s">
        <v>1540</v>
      </c>
      <c r="D16" s="5" t="s">
        <v>1541</v>
      </c>
      <c r="E16" s="25" t="s">
        <v>1542</v>
      </c>
      <c r="F16" s="5" t="s">
        <v>1543</v>
      </c>
      <c r="H16" s="35">
        <v>32635.0</v>
      </c>
      <c r="I16" s="5" t="s">
        <v>16</v>
      </c>
      <c r="J16" s="5" t="s">
        <v>39</v>
      </c>
      <c r="K16" s="5" t="b">
        <v>0</v>
      </c>
      <c r="L16" s="5" t="b">
        <v>0</v>
      </c>
      <c r="N16" s="5">
        <v>3000.0</v>
      </c>
      <c r="O16" s="5">
        <v>0.0</v>
      </c>
      <c r="P16" s="5">
        <v>0.0</v>
      </c>
      <c r="R16" s="5" t="b">
        <v>0</v>
      </c>
      <c r="U16" s="5" t="s">
        <v>1517</v>
      </c>
      <c r="V16" s="5" t="s">
        <v>1508</v>
      </c>
      <c r="W16" s="5" t="s">
        <v>1508</v>
      </c>
      <c r="X16" s="5" t="s">
        <v>1509</v>
      </c>
      <c r="Z16" s="5">
        <v>0.0</v>
      </c>
      <c r="AA16" s="5" t="s">
        <v>779</v>
      </c>
      <c r="AB16" s="5">
        <v>3000.0</v>
      </c>
      <c r="AC16" s="5" t="s">
        <v>1510</v>
      </c>
      <c r="AD16" s="5" t="s">
        <v>1511</v>
      </c>
      <c r="AE16" s="5">
        <v>3243.0</v>
      </c>
      <c r="AF16" s="36">
        <v>46119.20142383102</v>
      </c>
    </row>
    <row r="17" ht="22.5" customHeight="1">
      <c r="A17" s="5" t="s">
        <v>1544</v>
      </c>
      <c r="B17" s="5" t="s">
        <v>1506</v>
      </c>
      <c r="C17" s="5" t="s">
        <v>184</v>
      </c>
      <c r="D17" s="5" t="s">
        <v>14</v>
      </c>
      <c r="E17" s="25" t="s">
        <v>185</v>
      </c>
      <c r="F17" s="5" t="s">
        <v>186</v>
      </c>
      <c r="H17" s="35">
        <v>25696.0</v>
      </c>
      <c r="I17" s="5" t="s">
        <v>156</v>
      </c>
      <c r="J17" s="5" t="s">
        <v>17</v>
      </c>
      <c r="K17" s="5" t="b">
        <v>0</v>
      </c>
      <c r="L17" s="5" t="b">
        <v>0</v>
      </c>
      <c r="N17" s="5">
        <v>1500.0</v>
      </c>
      <c r="O17" s="5">
        <v>0.0</v>
      </c>
      <c r="P17" s="5">
        <v>0.0</v>
      </c>
      <c r="R17" s="5" t="b">
        <v>0</v>
      </c>
      <c r="U17" s="5" t="s">
        <v>1517</v>
      </c>
      <c r="V17" s="5" t="s">
        <v>1508</v>
      </c>
      <c r="W17" s="5" t="s">
        <v>1508</v>
      </c>
      <c r="X17" s="5" t="s">
        <v>1509</v>
      </c>
      <c r="Z17" s="5">
        <v>1200.0</v>
      </c>
      <c r="AA17" s="5" t="s">
        <v>1515</v>
      </c>
      <c r="AB17" s="5">
        <v>300.0</v>
      </c>
      <c r="AC17" s="5" t="s">
        <v>1510</v>
      </c>
      <c r="AE17" s="5">
        <v>4191.0</v>
      </c>
      <c r="AF17" s="36">
        <v>46119.08971623843</v>
      </c>
    </row>
    <row r="18" ht="22.5" hidden="1" customHeight="1">
      <c r="A18" s="5" t="s">
        <v>1545</v>
      </c>
      <c r="B18" s="5" t="s">
        <v>1506</v>
      </c>
      <c r="C18" s="5" t="s">
        <v>859</v>
      </c>
      <c r="D18" s="5" t="s">
        <v>147</v>
      </c>
      <c r="E18" s="25" t="s">
        <v>860</v>
      </c>
      <c r="F18" s="5" t="s">
        <v>861</v>
      </c>
      <c r="H18" s="35">
        <v>34809.0</v>
      </c>
      <c r="I18" s="5" t="s">
        <v>156</v>
      </c>
      <c r="J18" s="5" t="s">
        <v>39</v>
      </c>
      <c r="K18" s="5" t="b">
        <v>0</v>
      </c>
      <c r="L18" s="5" t="b">
        <v>0</v>
      </c>
      <c r="N18" s="5">
        <v>25.0</v>
      </c>
      <c r="O18" s="5">
        <v>0.0</v>
      </c>
      <c r="P18" s="5">
        <v>0.0</v>
      </c>
      <c r="R18" s="5" t="b">
        <v>0</v>
      </c>
      <c r="U18" s="5" t="s">
        <v>1519</v>
      </c>
      <c r="V18" s="5" t="s">
        <v>1508</v>
      </c>
      <c r="W18" s="5" t="s">
        <v>1508</v>
      </c>
      <c r="X18" s="5" t="s">
        <v>1509</v>
      </c>
      <c r="Z18" s="5">
        <v>25.0</v>
      </c>
      <c r="AB18" s="5">
        <v>0.0</v>
      </c>
      <c r="AC18" s="5" t="s">
        <v>1546</v>
      </c>
      <c r="AD18" s="5" t="s">
        <v>1511</v>
      </c>
      <c r="AE18" s="5">
        <v>3241.0</v>
      </c>
      <c r="AF18" s="36">
        <v>46118.538817071756</v>
      </c>
    </row>
    <row r="19" ht="22.5" customHeight="1">
      <c r="A19" s="5" t="s">
        <v>1547</v>
      </c>
      <c r="B19" s="5" t="s">
        <v>1506</v>
      </c>
      <c r="C19" s="5" t="s">
        <v>154</v>
      </c>
      <c r="D19" s="5" t="s">
        <v>14</v>
      </c>
      <c r="E19" s="5">
        <v>9.85125421E9</v>
      </c>
      <c r="F19" s="5" t="s">
        <v>155</v>
      </c>
      <c r="H19" s="35">
        <v>32738.0</v>
      </c>
      <c r="I19" s="5" t="s">
        <v>156</v>
      </c>
      <c r="J19" s="5" t="s">
        <v>17</v>
      </c>
      <c r="K19" s="5" t="b">
        <v>0</v>
      </c>
      <c r="L19" s="5" t="b">
        <v>0</v>
      </c>
      <c r="N19" s="5">
        <v>1500.0</v>
      </c>
      <c r="O19" s="5">
        <v>0.0</v>
      </c>
      <c r="P19" s="5">
        <v>0.0</v>
      </c>
      <c r="R19" s="5" t="b">
        <v>0</v>
      </c>
      <c r="U19" s="5" t="s">
        <v>1514</v>
      </c>
      <c r="V19" s="5" t="s">
        <v>1508</v>
      </c>
      <c r="W19" s="5" t="s">
        <v>1548</v>
      </c>
      <c r="X19" s="5" t="s">
        <v>1509</v>
      </c>
      <c r="Z19" s="5">
        <v>1125.0</v>
      </c>
      <c r="AA19" s="5" t="s">
        <v>1526</v>
      </c>
      <c r="AB19" s="5">
        <v>375.0</v>
      </c>
      <c r="AC19" s="5" t="s">
        <v>1510</v>
      </c>
      <c r="AE19" s="5">
        <v>4190.0</v>
      </c>
      <c r="AF19" s="36">
        <v>46118.52215729166</v>
      </c>
      <c r="AG19" s="5" t="s">
        <v>1549</v>
      </c>
    </row>
    <row r="20" ht="22.5" hidden="1" customHeight="1">
      <c r="A20" s="5" t="s">
        <v>1550</v>
      </c>
      <c r="B20" s="5" t="s">
        <v>1506</v>
      </c>
      <c r="C20" s="5" t="s">
        <v>514</v>
      </c>
      <c r="D20" s="5" t="s">
        <v>14</v>
      </c>
      <c r="E20" s="5">
        <v>9.808397088E9</v>
      </c>
      <c r="F20" s="5" t="s">
        <v>515</v>
      </c>
      <c r="H20" s="35">
        <v>32919.0</v>
      </c>
      <c r="I20" s="5" t="s">
        <v>156</v>
      </c>
      <c r="J20" s="5" t="s">
        <v>39</v>
      </c>
      <c r="K20" s="5" t="b">
        <v>0</v>
      </c>
      <c r="L20" s="5" t="b">
        <v>0</v>
      </c>
      <c r="N20" s="5">
        <v>3000.0</v>
      </c>
      <c r="O20" s="5">
        <v>0.0</v>
      </c>
      <c r="P20" s="5">
        <v>0.0</v>
      </c>
      <c r="R20" s="5" t="b">
        <v>0</v>
      </c>
      <c r="U20" s="5" t="s">
        <v>1517</v>
      </c>
      <c r="V20" s="5" t="s">
        <v>1508</v>
      </c>
      <c r="W20" s="5" t="s">
        <v>1508</v>
      </c>
      <c r="X20" s="5" t="s">
        <v>1509</v>
      </c>
      <c r="Z20" s="5">
        <v>3000.0</v>
      </c>
      <c r="AB20" s="5">
        <v>0.0</v>
      </c>
      <c r="AC20" s="5" t="s">
        <v>1510</v>
      </c>
      <c r="AD20" s="5" t="s">
        <v>1551</v>
      </c>
      <c r="AE20" s="5">
        <v>3240.0</v>
      </c>
      <c r="AF20" s="36">
        <v>46118.50879418982</v>
      </c>
    </row>
    <row r="21" ht="22.5" hidden="1" customHeight="1">
      <c r="A21" s="5" t="s">
        <v>1552</v>
      </c>
      <c r="B21" s="5" t="s">
        <v>1506</v>
      </c>
      <c r="C21" s="5" t="s">
        <v>1447</v>
      </c>
      <c r="D21" s="5" t="s">
        <v>366</v>
      </c>
      <c r="E21" s="25" t="s">
        <v>1448</v>
      </c>
      <c r="F21" s="5" t="s">
        <v>1449</v>
      </c>
      <c r="G21" s="5">
        <v>5129944.0</v>
      </c>
      <c r="H21" s="35">
        <v>28139.0</v>
      </c>
      <c r="I21" s="5" t="s">
        <v>156</v>
      </c>
      <c r="J21" s="5" t="s">
        <v>46</v>
      </c>
      <c r="K21" s="5" t="b">
        <v>0</v>
      </c>
      <c r="L21" s="5" t="b">
        <v>0</v>
      </c>
      <c r="N21" s="5">
        <v>120.0</v>
      </c>
      <c r="O21" s="5">
        <v>0.0</v>
      </c>
      <c r="P21" s="5">
        <v>0.0</v>
      </c>
      <c r="R21" s="5" t="b">
        <v>0</v>
      </c>
      <c r="U21" s="5" t="s">
        <v>1519</v>
      </c>
      <c r="V21" s="5" t="s">
        <v>1508</v>
      </c>
      <c r="W21" s="5" t="s">
        <v>1548</v>
      </c>
      <c r="X21" s="5" t="s">
        <v>1509</v>
      </c>
      <c r="Z21" s="5">
        <v>120.0</v>
      </c>
      <c r="AB21" s="5">
        <v>0.0</v>
      </c>
      <c r="AC21" s="5" t="s">
        <v>1546</v>
      </c>
      <c r="AD21" s="5" t="s">
        <v>1551</v>
      </c>
      <c r="AE21" s="5">
        <v>1546.0</v>
      </c>
      <c r="AF21" s="36">
        <v>46118.48614400463</v>
      </c>
      <c r="AG21" s="5" t="s">
        <v>1549</v>
      </c>
    </row>
    <row r="22" ht="22.5" customHeight="1">
      <c r="A22" s="5" t="s">
        <v>1553</v>
      </c>
      <c r="B22" s="5" t="s">
        <v>1506</v>
      </c>
      <c r="C22" s="5" t="s">
        <v>157</v>
      </c>
      <c r="D22" s="5" t="s">
        <v>14</v>
      </c>
      <c r="E22" s="5">
        <v>9.851133926E9</v>
      </c>
      <c r="F22" s="5" t="s">
        <v>158</v>
      </c>
      <c r="H22" s="35">
        <v>26693.0</v>
      </c>
      <c r="I22" s="5" t="s">
        <v>156</v>
      </c>
      <c r="J22" s="5" t="s">
        <v>17</v>
      </c>
      <c r="K22" s="5" t="b">
        <v>0</v>
      </c>
      <c r="L22" s="5" t="b">
        <v>0</v>
      </c>
      <c r="N22" s="5">
        <v>1500.0</v>
      </c>
      <c r="O22" s="5">
        <v>0.0</v>
      </c>
      <c r="P22" s="5">
        <v>0.0</v>
      </c>
      <c r="R22" s="5" t="b">
        <v>0</v>
      </c>
      <c r="U22" s="5" t="s">
        <v>1519</v>
      </c>
      <c r="V22" s="5" t="s">
        <v>1508</v>
      </c>
      <c r="W22" s="5" t="s">
        <v>1548</v>
      </c>
      <c r="X22" s="5" t="s">
        <v>1509</v>
      </c>
      <c r="Z22" s="5">
        <v>1500.0</v>
      </c>
      <c r="AB22" s="5">
        <v>0.0</v>
      </c>
      <c r="AC22" s="5" t="s">
        <v>1510</v>
      </c>
      <c r="AE22" s="5">
        <v>4189.0</v>
      </c>
      <c r="AF22" s="36">
        <v>46118.37093107639</v>
      </c>
      <c r="AG22" s="5" t="s">
        <v>1549</v>
      </c>
    </row>
    <row r="23" ht="22.5" hidden="1" customHeight="1">
      <c r="A23" s="5" t="s">
        <v>1554</v>
      </c>
      <c r="B23" s="5" t="s">
        <v>1506</v>
      </c>
      <c r="C23" s="5" t="s">
        <v>1158</v>
      </c>
      <c r="D23" s="5" t="s">
        <v>14</v>
      </c>
      <c r="E23" s="5">
        <v>9.851045745E9</v>
      </c>
      <c r="F23" s="5" t="s">
        <v>1159</v>
      </c>
      <c r="H23" s="35">
        <v>24660.0</v>
      </c>
      <c r="I23" s="5" t="s">
        <v>156</v>
      </c>
      <c r="J23" s="5" t="s">
        <v>42</v>
      </c>
      <c r="K23" s="5" t="b">
        <v>0</v>
      </c>
      <c r="L23" s="5" t="b">
        <v>0</v>
      </c>
      <c r="N23" s="5">
        <v>7500.0</v>
      </c>
      <c r="O23" s="5">
        <v>0.0</v>
      </c>
      <c r="P23" s="5">
        <v>0.0</v>
      </c>
      <c r="R23" s="5" t="b">
        <v>0</v>
      </c>
      <c r="U23" s="5" t="s">
        <v>1519</v>
      </c>
      <c r="V23" s="5" t="s">
        <v>1508</v>
      </c>
      <c r="W23" s="5" t="s">
        <v>1508</v>
      </c>
      <c r="X23" s="5" t="s">
        <v>1509</v>
      </c>
      <c r="Z23" s="5">
        <v>5625.0</v>
      </c>
      <c r="AA23" s="5" t="s">
        <v>1526</v>
      </c>
      <c r="AB23" s="5">
        <v>1875.0</v>
      </c>
      <c r="AC23" s="5" t="s">
        <v>1510</v>
      </c>
      <c r="AE23" s="5">
        <v>2144.0</v>
      </c>
      <c r="AF23" s="36">
        <v>46118.313322939815</v>
      </c>
    </row>
    <row r="24" ht="22.5" customHeight="1">
      <c r="A24" s="5" t="s">
        <v>1555</v>
      </c>
      <c r="B24" s="5" t="s">
        <v>1506</v>
      </c>
      <c r="C24" s="5" t="s">
        <v>159</v>
      </c>
      <c r="D24" s="5" t="s">
        <v>14</v>
      </c>
      <c r="E24" s="25" t="s">
        <v>160</v>
      </c>
      <c r="F24" s="5" t="s">
        <v>161</v>
      </c>
      <c r="H24" s="35">
        <v>22271.0</v>
      </c>
      <c r="I24" s="5" t="s">
        <v>156</v>
      </c>
      <c r="J24" s="5" t="s">
        <v>17</v>
      </c>
      <c r="K24" s="5" t="b">
        <v>0</v>
      </c>
      <c r="L24" s="5" t="b">
        <v>0</v>
      </c>
      <c r="N24" s="5">
        <v>1500.0</v>
      </c>
      <c r="O24" s="5">
        <v>0.0</v>
      </c>
      <c r="P24" s="5">
        <v>0.0</v>
      </c>
      <c r="R24" s="5" t="b">
        <v>0</v>
      </c>
      <c r="U24" s="5" t="s">
        <v>1514</v>
      </c>
      <c r="V24" s="5" t="s">
        <v>1508</v>
      </c>
      <c r="W24" s="5" t="s">
        <v>1508</v>
      </c>
      <c r="X24" s="5" t="s">
        <v>1509</v>
      </c>
      <c r="Z24" s="5">
        <v>1125.0</v>
      </c>
      <c r="AA24" s="5" t="s">
        <v>1556</v>
      </c>
      <c r="AB24" s="5">
        <v>375.0</v>
      </c>
      <c r="AC24" s="5" t="s">
        <v>1510</v>
      </c>
      <c r="AE24" s="5">
        <v>4183.0</v>
      </c>
      <c r="AF24" s="36">
        <v>46117.7023212037</v>
      </c>
    </row>
    <row r="25" ht="22.5" customHeight="1">
      <c r="A25" s="5" t="s">
        <v>1557</v>
      </c>
      <c r="B25" s="5" t="s">
        <v>1506</v>
      </c>
      <c r="C25" s="5" t="s">
        <v>162</v>
      </c>
      <c r="D25" s="5" t="s">
        <v>14</v>
      </c>
      <c r="E25" s="5">
        <v>9.70508565E9</v>
      </c>
      <c r="F25" s="5" t="s">
        <v>163</v>
      </c>
      <c r="H25" s="35">
        <v>30113.0</v>
      </c>
      <c r="I25" s="5" t="s">
        <v>156</v>
      </c>
      <c r="J25" s="5" t="s">
        <v>17</v>
      </c>
      <c r="K25" s="5" t="b">
        <v>0</v>
      </c>
      <c r="L25" s="5" t="b">
        <v>0</v>
      </c>
      <c r="N25" s="5">
        <v>1500.0</v>
      </c>
      <c r="O25" s="5">
        <v>0.0</v>
      </c>
      <c r="P25" s="5">
        <v>0.0</v>
      </c>
      <c r="R25" s="5" t="b">
        <v>0</v>
      </c>
      <c r="U25" s="5" t="s">
        <v>1514</v>
      </c>
      <c r="V25" s="5" t="s">
        <v>1508</v>
      </c>
      <c r="W25" s="5" t="s">
        <v>1508</v>
      </c>
      <c r="X25" s="5" t="s">
        <v>1509</v>
      </c>
      <c r="Z25" s="5">
        <v>1125.0</v>
      </c>
      <c r="AA25" s="5" t="s">
        <v>1556</v>
      </c>
      <c r="AB25" s="5">
        <v>375.0</v>
      </c>
      <c r="AC25" s="5" t="s">
        <v>1510</v>
      </c>
      <c r="AD25" s="5" t="s">
        <v>1558</v>
      </c>
      <c r="AE25" s="5">
        <v>4187.0</v>
      </c>
      <c r="AF25" s="36">
        <v>46117.691587546295</v>
      </c>
    </row>
    <row r="26" ht="22.5" customHeight="1">
      <c r="A26" s="5" t="s">
        <v>1559</v>
      </c>
      <c r="B26" s="5" t="s">
        <v>1506</v>
      </c>
      <c r="C26" s="5" t="s">
        <v>164</v>
      </c>
      <c r="D26" s="5" t="s">
        <v>14</v>
      </c>
      <c r="E26" s="5">
        <v>9.840050562E9</v>
      </c>
      <c r="F26" s="5" t="s">
        <v>165</v>
      </c>
      <c r="H26" s="35">
        <v>28417.0</v>
      </c>
      <c r="I26" s="5" t="s">
        <v>156</v>
      </c>
      <c r="J26" s="5" t="s">
        <v>17</v>
      </c>
      <c r="K26" s="5" t="b">
        <v>0</v>
      </c>
      <c r="L26" s="5" t="b">
        <v>0</v>
      </c>
      <c r="N26" s="5">
        <v>1500.0</v>
      </c>
      <c r="O26" s="5">
        <v>0.0</v>
      </c>
      <c r="P26" s="5">
        <v>0.0</v>
      </c>
      <c r="R26" s="5" t="b">
        <v>0</v>
      </c>
      <c r="U26" s="5" t="s">
        <v>1514</v>
      </c>
      <c r="V26" s="5" t="s">
        <v>1508</v>
      </c>
      <c r="W26" s="5" t="s">
        <v>1508</v>
      </c>
      <c r="X26" s="5" t="s">
        <v>1509</v>
      </c>
      <c r="Z26" s="5">
        <v>1125.0</v>
      </c>
      <c r="AA26" s="5" t="s">
        <v>1556</v>
      </c>
      <c r="AB26" s="5">
        <v>375.0</v>
      </c>
      <c r="AC26" s="5" t="s">
        <v>1510</v>
      </c>
      <c r="AE26" s="5">
        <v>4182.0</v>
      </c>
      <c r="AF26" s="36">
        <v>46117.682079375</v>
      </c>
    </row>
    <row r="27" ht="22.5" customHeight="1">
      <c r="A27" s="5" t="s">
        <v>1560</v>
      </c>
      <c r="B27" s="5" t="s">
        <v>1506</v>
      </c>
      <c r="C27" s="5" t="s">
        <v>371</v>
      </c>
      <c r="D27" s="5" t="s">
        <v>372</v>
      </c>
      <c r="E27" s="25" t="s">
        <v>1561</v>
      </c>
      <c r="F27" s="5" t="s">
        <v>374</v>
      </c>
      <c r="H27" s="35">
        <v>36969.0</v>
      </c>
      <c r="I27" s="5" t="s">
        <v>156</v>
      </c>
      <c r="J27" s="5" t="s">
        <v>17</v>
      </c>
      <c r="K27" s="5" t="b">
        <v>0</v>
      </c>
      <c r="L27" s="5" t="b">
        <v>0</v>
      </c>
      <c r="N27" s="5">
        <v>10.0</v>
      </c>
      <c r="O27" s="5">
        <v>0.0</v>
      </c>
      <c r="P27" s="5">
        <v>0.0</v>
      </c>
      <c r="R27" s="5" t="b">
        <v>0</v>
      </c>
      <c r="U27" s="5" t="s">
        <v>1519</v>
      </c>
      <c r="V27" s="5" t="s">
        <v>1508</v>
      </c>
      <c r="W27" s="5" t="s">
        <v>1508</v>
      </c>
      <c r="X27" s="5" t="s">
        <v>1509</v>
      </c>
      <c r="Z27" s="5">
        <v>8.0</v>
      </c>
      <c r="AA27" s="5" t="s">
        <v>1515</v>
      </c>
      <c r="AB27" s="5">
        <v>2.0</v>
      </c>
      <c r="AC27" s="5" t="s">
        <v>1546</v>
      </c>
      <c r="AD27" s="5" t="s">
        <v>1511</v>
      </c>
      <c r="AE27" s="5">
        <v>4180.0</v>
      </c>
      <c r="AF27" s="36">
        <v>46117.66430488426</v>
      </c>
    </row>
    <row r="28" ht="22.5" customHeight="1">
      <c r="A28" s="5" t="s">
        <v>1562</v>
      </c>
      <c r="B28" s="5" t="s">
        <v>1506</v>
      </c>
      <c r="C28" s="5" t="s">
        <v>1563</v>
      </c>
      <c r="D28" s="5" t="s">
        <v>14</v>
      </c>
      <c r="E28" s="5">
        <v>9.813034988E9</v>
      </c>
      <c r="F28" s="5" t="s">
        <v>15</v>
      </c>
      <c r="H28" s="35">
        <v>31155.0</v>
      </c>
      <c r="I28" s="5" t="s">
        <v>16</v>
      </c>
      <c r="J28" s="5" t="s">
        <v>17</v>
      </c>
      <c r="K28" s="5" t="b">
        <v>0</v>
      </c>
      <c r="L28" s="5" t="b">
        <v>0</v>
      </c>
      <c r="N28" s="5">
        <v>1500.0</v>
      </c>
      <c r="O28" s="5">
        <v>0.0</v>
      </c>
      <c r="P28" s="5">
        <v>0.0</v>
      </c>
      <c r="R28" s="5" t="b">
        <v>0</v>
      </c>
      <c r="U28" s="5" t="s">
        <v>1519</v>
      </c>
      <c r="V28" s="5" t="s">
        <v>1508</v>
      </c>
      <c r="W28" s="5" t="s">
        <v>1508</v>
      </c>
      <c r="X28" s="5" t="s">
        <v>1509</v>
      </c>
      <c r="Z28" s="5">
        <v>1125.0</v>
      </c>
      <c r="AA28" s="5" t="s">
        <v>955</v>
      </c>
      <c r="AB28" s="5">
        <v>375.0</v>
      </c>
      <c r="AC28" s="5" t="s">
        <v>1510</v>
      </c>
      <c r="AE28" s="5">
        <v>4178.0</v>
      </c>
      <c r="AF28" s="36">
        <v>46117.655340034726</v>
      </c>
    </row>
    <row r="29" ht="22.5" hidden="1" customHeight="1">
      <c r="A29" s="5" t="s">
        <v>1564</v>
      </c>
      <c r="B29" s="5" t="s">
        <v>1506</v>
      </c>
      <c r="C29" s="5" t="s">
        <v>914</v>
      </c>
      <c r="D29" s="5" t="s">
        <v>140</v>
      </c>
      <c r="E29" s="25" t="s">
        <v>915</v>
      </c>
      <c r="F29" s="5" t="s">
        <v>916</v>
      </c>
      <c r="H29" s="35">
        <v>33315.0</v>
      </c>
      <c r="I29" s="5" t="s">
        <v>16</v>
      </c>
      <c r="J29" s="5" t="s">
        <v>42</v>
      </c>
      <c r="K29" s="5" t="b">
        <v>0</v>
      </c>
      <c r="L29" s="5" t="b">
        <v>0</v>
      </c>
      <c r="N29" s="5">
        <v>80.0</v>
      </c>
      <c r="O29" s="5">
        <v>0.0</v>
      </c>
      <c r="P29" s="5">
        <v>0.0</v>
      </c>
      <c r="R29" s="5" t="b">
        <v>0</v>
      </c>
      <c r="U29" s="5" t="s">
        <v>1519</v>
      </c>
      <c r="V29" s="5" t="s">
        <v>1508</v>
      </c>
      <c r="W29" s="5" t="s">
        <v>1548</v>
      </c>
      <c r="X29" s="5" t="s">
        <v>1509</v>
      </c>
      <c r="Z29" s="5">
        <v>80.0</v>
      </c>
      <c r="AB29" s="5">
        <v>0.0</v>
      </c>
      <c r="AC29" s="5" t="s">
        <v>1546</v>
      </c>
      <c r="AD29" s="5" t="s">
        <v>1511</v>
      </c>
      <c r="AE29" s="5">
        <v>2138.0</v>
      </c>
      <c r="AF29" s="36">
        <v>46117.651365625</v>
      </c>
      <c r="AG29" s="5" t="s">
        <v>1549</v>
      </c>
    </row>
    <row r="30" ht="22.5" customHeight="1">
      <c r="A30" s="5" t="s">
        <v>1565</v>
      </c>
      <c r="B30" s="5" t="s">
        <v>1506</v>
      </c>
      <c r="C30" s="5" t="s">
        <v>166</v>
      </c>
      <c r="D30" s="5" t="s">
        <v>14</v>
      </c>
      <c r="E30" s="5">
        <v>9.823340217E9</v>
      </c>
      <c r="F30" s="5" t="s">
        <v>167</v>
      </c>
      <c r="H30" s="35">
        <v>33707.0</v>
      </c>
      <c r="I30" s="5" t="s">
        <v>156</v>
      </c>
      <c r="J30" s="5" t="s">
        <v>17</v>
      </c>
      <c r="K30" s="5" t="b">
        <v>0</v>
      </c>
      <c r="L30" s="5" t="b">
        <v>0</v>
      </c>
      <c r="N30" s="5">
        <v>1500.0</v>
      </c>
      <c r="O30" s="5">
        <v>0.0</v>
      </c>
      <c r="P30" s="5">
        <v>0.0</v>
      </c>
      <c r="R30" s="5" t="b">
        <v>0</v>
      </c>
      <c r="U30" s="5" t="s">
        <v>1514</v>
      </c>
      <c r="V30" s="5" t="s">
        <v>1508</v>
      </c>
      <c r="W30" s="5" t="s">
        <v>1508</v>
      </c>
      <c r="X30" s="5" t="s">
        <v>1509</v>
      </c>
      <c r="Z30" s="5">
        <v>1500.0</v>
      </c>
      <c r="AB30" s="5">
        <v>0.0</v>
      </c>
      <c r="AC30" s="5" t="s">
        <v>1510</v>
      </c>
      <c r="AD30" s="5" t="s">
        <v>1511</v>
      </c>
      <c r="AE30" s="5">
        <v>4179.0</v>
      </c>
      <c r="AF30" s="36">
        <v>46117.616392476855</v>
      </c>
    </row>
    <row r="31" ht="22.5" customHeight="1">
      <c r="A31" s="5" t="s">
        <v>1566</v>
      </c>
      <c r="B31" s="5" t="s">
        <v>1506</v>
      </c>
      <c r="C31" s="5" t="s">
        <v>375</v>
      </c>
      <c r="D31" s="5" t="s">
        <v>376</v>
      </c>
      <c r="E31" s="25" t="s">
        <v>377</v>
      </c>
      <c r="F31" s="5" t="s">
        <v>378</v>
      </c>
      <c r="H31" s="35">
        <v>36412.0</v>
      </c>
      <c r="I31" s="5" t="s">
        <v>156</v>
      </c>
      <c r="J31" s="5" t="s">
        <v>17</v>
      </c>
      <c r="K31" s="5" t="b">
        <v>0</v>
      </c>
      <c r="L31" s="5" t="b">
        <v>0</v>
      </c>
      <c r="N31" s="5">
        <v>1500.0</v>
      </c>
      <c r="O31" s="5">
        <v>0.0</v>
      </c>
      <c r="P31" s="5">
        <v>0.0</v>
      </c>
      <c r="R31" s="5" t="b">
        <v>0</v>
      </c>
      <c r="U31" s="5" t="s">
        <v>1517</v>
      </c>
      <c r="V31" s="5" t="s">
        <v>1508</v>
      </c>
      <c r="W31" s="5" t="s">
        <v>1508</v>
      </c>
      <c r="X31" s="5" t="s">
        <v>1509</v>
      </c>
      <c r="Z31" s="5">
        <v>1500.0</v>
      </c>
      <c r="AB31" s="5">
        <v>0.0</v>
      </c>
      <c r="AC31" s="5" t="s">
        <v>1510</v>
      </c>
      <c r="AE31" s="5">
        <v>4177.0</v>
      </c>
      <c r="AF31" s="36">
        <v>46117.478292430555</v>
      </c>
    </row>
    <row r="32" ht="22.5" hidden="1" customHeight="1">
      <c r="A32" s="5" t="s">
        <v>1567</v>
      </c>
      <c r="B32" s="5" t="s">
        <v>1506</v>
      </c>
      <c r="C32" s="5" t="s">
        <v>516</v>
      </c>
      <c r="D32" s="5" t="s">
        <v>14</v>
      </c>
      <c r="E32" s="5">
        <v>9.851159785E9</v>
      </c>
      <c r="F32" s="5" t="s">
        <v>517</v>
      </c>
      <c r="G32" s="5">
        <v>6195677.0</v>
      </c>
      <c r="H32" s="35">
        <v>32175.0</v>
      </c>
      <c r="I32" s="5" t="s">
        <v>156</v>
      </c>
      <c r="J32" s="5" t="s">
        <v>39</v>
      </c>
      <c r="K32" s="5" t="b">
        <v>0</v>
      </c>
      <c r="L32" s="5" t="b">
        <v>0</v>
      </c>
      <c r="N32" s="5">
        <v>3000.0</v>
      </c>
      <c r="O32" s="5">
        <v>0.0</v>
      </c>
      <c r="P32" s="5">
        <v>0.0</v>
      </c>
      <c r="R32" s="5" t="b">
        <v>0</v>
      </c>
      <c r="U32" s="5" t="s">
        <v>1517</v>
      </c>
      <c r="V32" s="5" t="s">
        <v>1508</v>
      </c>
      <c r="W32" s="5" t="s">
        <v>1548</v>
      </c>
      <c r="X32" s="5" t="s">
        <v>1509</v>
      </c>
      <c r="Z32" s="5">
        <v>3000.0</v>
      </c>
      <c r="AB32" s="5">
        <v>0.0</v>
      </c>
      <c r="AC32" s="5" t="s">
        <v>1510</v>
      </c>
      <c r="AE32" s="5">
        <v>3236.0</v>
      </c>
      <c r="AF32" s="36">
        <v>46117.443869282404</v>
      </c>
      <c r="AG32" s="5" t="s">
        <v>1549</v>
      </c>
    </row>
    <row r="33" ht="22.5" hidden="1" customHeight="1">
      <c r="A33" s="5" t="s">
        <v>1568</v>
      </c>
      <c r="B33" s="5" t="s">
        <v>1506</v>
      </c>
      <c r="C33" s="5" t="s">
        <v>423</v>
      </c>
      <c r="D33" s="5" t="s">
        <v>14</v>
      </c>
      <c r="E33" s="5">
        <v>9.840252837E9</v>
      </c>
      <c r="F33" s="5" t="s">
        <v>424</v>
      </c>
      <c r="H33" s="35">
        <v>37927.0</v>
      </c>
      <c r="I33" s="5" t="s">
        <v>16</v>
      </c>
      <c r="J33" s="5" t="s">
        <v>39</v>
      </c>
      <c r="K33" s="5" t="b">
        <v>0</v>
      </c>
      <c r="L33" s="5" t="b">
        <v>0</v>
      </c>
      <c r="N33" s="5">
        <v>3000.0</v>
      </c>
      <c r="O33" s="5">
        <v>0.0</v>
      </c>
      <c r="P33" s="5">
        <v>0.0</v>
      </c>
      <c r="R33" s="5" t="b">
        <v>0</v>
      </c>
      <c r="U33" s="5" t="s">
        <v>1519</v>
      </c>
      <c r="V33" s="5" t="s">
        <v>1508</v>
      </c>
      <c r="W33" s="5" t="s">
        <v>1508</v>
      </c>
      <c r="X33" s="5" t="s">
        <v>1509</v>
      </c>
      <c r="Z33" s="5">
        <v>2250.0</v>
      </c>
      <c r="AA33" s="5" t="s">
        <v>1556</v>
      </c>
      <c r="AB33" s="5">
        <v>750.0</v>
      </c>
      <c r="AC33" s="5" t="s">
        <v>1510</v>
      </c>
      <c r="AE33" s="5">
        <v>3235.0</v>
      </c>
      <c r="AF33" s="36">
        <v>46117.28855878472</v>
      </c>
    </row>
    <row r="34" ht="22.5" hidden="1" customHeight="1">
      <c r="A34" s="5" t="s">
        <v>1569</v>
      </c>
      <c r="B34" s="5" t="s">
        <v>1506</v>
      </c>
      <c r="C34" s="5" t="s">
        <v>425</v>
      </c>
      <c r="D34" s="5" t="s">
        <v>14</v>
      </c>
      <c r="E34" s="25" t="s">
        <v>426</v>
      </c>
      <c r="F34" s="5" t="s">
        <v>427</v>
      </c>
      <c r="H34" s="35">
        <v>37198.0</v>
      </c>
      <c r="I34" s="5" t="s">
        <v>16</v>
      </c>
      <c r="J34" s="5" t="s">
        <v>39</v>
      </c>
      <c r="K34" s="5" t="b">
        <v>0</v>
      </c>
      <c r="L34" s="5" t="b">
        <v>0</v>
      </c>
      <c r="N34" s="5">
        <v>3000.0</v>
      </c>
      <c r="O34" s="5">
        <v>0.0</v>
      </c>
      <c r="P34" s="5">
        <v>0.0</v>
      </c>
      <c r="R34" s="5" t="b">
        <v>0</v>
      </c>
      <c r="U34" s="5" t="s">
        <v>1519</v>
      </c>
      <c r="V34" s="5" t="s">
        <v>1508</v>
      </c>
      <c r="W34" s="5" t="s">
        <v>1548</v>
      </c>
      <c r="X34" s="5" t="s">
        <v>1509</v>
      </c>
      <c r="Z34" s="5">
        <v>2250.0</v>
      </c>
      <c r="AA34" s="5" t="s">
        <v>1526</v>
      </c>
      <c r="AB34" s="5">
        <v>750.0</v>
      </c>
      <c r="AC34" s="5" t="s">
        <v>1510</v>
      </c>
      <c r="AE34" s="5">
        <v>3234.0</v>
      </c>
      <c r="AF34" s="36">
        <v>46117.27068108796</v>
      </c>
      <c r="AG34" s="5" t="s">
        <v>1549</v>
      </c>
    </row>
    <row r="35" ht="22.5" hidden="1" customHeight="1">
      <c r="A35" s="5" t="s">
        <v>1570</v>
      </c>
      <c r="B35" s="5" t="s">
        <v>1506</v>
      </c>
      <c r="C35" s="5" t="s">
        <v>518</v>
      </c>
      <c r="D35" s="5" t="s">
        <v>14</v>
      </c>
      <c r="E35" s="5">
        <v>9.818888569E9</v>
      </c>
      <c r="F35" s="5" t="s">
        <v>519</v>
      </c>
      <c r="H35" s="35">
        <v>36846.0</v>
      </c>
      <c r="I35" s="5" t="s">
        <v>156</v>
      </c>
      <c r="J35" s="5" t="s">
        <v>39</v>
      </c>
      <c r="K35" s="5" t="b">
        <v>0</v>
      </c>
      <c r="L35" s="5" t="b">
        <v>0</v>
      </c>
      <c r="N35" s="5">
        <v>3000.0</v>
      </c>
      <c r="O35" s="5">
        <v>0.0</v>
      </c>
      <c r="P35" s="5">
        <v>0.0</v>
      </c>
      <c r="R35" s="5" t="b">
        <v>0</v>
      </c>
      <c r="U35" s="5" t="s">
        <v>1517</v>
      </c>
      <c r="V35" s="5" t="s">
        <v>1508</v>
      </c>
      <c r="W35" s="5" t="s">
        <v>1508</v>
      </c>
      <c r="X35" s="5" t="s">
        <v>1509</v>
      </c>
      <c r="Z35" s="5">
        <v>2250.0</v>
      </c>
      <c r="AA35" s="5" t="s">
        <v>1526</v>
      </c>
      <c r="AB35" s="5">
        <v>750.0</v>
      </c>
      <c r="AC35" s="5" t="s">
        <v>1510</v>
      </c>
      <c r="AE35" s="5">
        <v>3233.0</v>
      </c>
      <c r="AF35" s="36">
        <v>46117.2673083912</v>
      </c>
    </row>
    <row r="36" ht="22.5" customHeight="1">
      <c r="A36" s="5" t="s">
        <v>1571</v>
      </c>
      <c r="B36" s="5" t="s">
        <v>1506</v>
      </c>
      <c r="C36" s="5" t="s">
        <v>168</v>
      </c>
      <c r="D36" s="5" t="s">
        <v>14</v>
      </c>
      <c r="E36" s="5">
        <v>9.713259492E9</v>
      </c>
      <c r="F36" s="5" t="s">
        <v>169</v>
      </c>
      <c r="H36" s="35">
        <v>35681.0</v>
      </c>
      <c r="I36" s="5" t="s">
        <v>156</v>
      </c>
      <c r="J36" s="5" t="s">
        <v>17</v>
      </c>
      <c r="K36" s="5" t="b">
        <v>0</v>
      </c>
      <c r="L36" s="5" t="b">
        <v>0</v>
      </c>
      <c r="N36" s="5">
        <v>1500.0</v>
      </c>
      <c r="O36" s="5">
        <v>0.0</v>
      </c>
      <c r="P36" s="5">
        <v>0.0</v>
      </c>
      <c r="R36" s="5" t="b">
        <v>0</v>
      </c>
      <c r="U36" s="5" t="s">
        <v>1519</v>
      </c>
      <c r="V36" s="5" t="s">
        <v>1508</v>
      </c>
      <c r="W36" s="5" t="s">
        <v>1508</v>
      </c>
      <c r="X36" s="5" t="s">
        <v>1509</v>
      </c>
      <c r="Z36" s="5">
        <v>1200.0</v>
      </c>
      <c r="AA36" s="5" t="s">
        <v>1515</v>
      </c>
      <c r="AB36" s="5">
        <v>300.0</v>
      </c>
      <c r="AC36" s="5" t="s">
        <v>1510</v>
      </c>
      <c r="AE36" s="5">
        <v>4176.0</v>
      </c>
      <c r="AF36" s="36">
        <v>46117.15842020833</v>
      </c>
    </row>
    <row r="37" ht="22.5" hidden="1" customHeight="1">
      <c r="A37" s="5" t="s">
        <v>1572</v>
      </c>
      <c r="B37" s="5" t="s">
        <v>1506</v>
      </c>
      <c r="C37" s="5" t="s">
        <v>428</v>
      </c>
      <c r="D37" s="5" t="s">
        <v>14</v>
      </c>
      <c r="E37" s="25" t="s">
        <v>429</v>
      </c>
      <c r="F37" s="5" t="s">
        <v>430</v>
      </c>
      <c r="H37" s="35">
        <v>31608.0</v>
      </c>
      <c r="I37" s="5" t="s">
        <v>16</v>
      </c>
      <c r="J37" s="5" t="s">
        <v>39</v>
      </c>
      <c r="K37" s="5" t="b">
        <v>0</v>
      </c>
      <c r="L37" s="5" t="b">
        <v>0</v>
      </c>
      <c r="N37" s="5">
        <v>3000.0</v>
      </c>
      <c r="O37" s="5">
        <v>0.0</v>
      </c>
      <c r="P37" s="5">
        <v>0.0</v>
      </c>
      <c r="R37" s="5" t="b">
        <v>0</v>
      </c>
      <c r="U37" s="5" t="s">
        <v>1519</v>
      </c>
      <c r="V37" s="5" t="s">
        <v>1508</v>
      </c>
      <c r="W37" s="5" t="s">
        <v>1508</v>
      </c>
      <c r="X37" s="5" t="s">
        <v>1509</v>
      </c>
      <c r="Z37" s="5">
        <v>3000.0</v>
      </c>
      <c r="AB37" s="5">
        <v>0.0</v>
      </c>
      <c r="AC37" s="5" t="s">
        <v>1510</v>
      </c>
      <c r="AE37" s="5">
        <v>3232.0</v>
      </c>
      <c r="AF37" s="36">
        <v>46116.76830895833</v>
      </c>
    </row>
    <row r="38" ht="22.5" hidden="1" customHeight="1">
      <c r="A38" s="5" t="s">
        <v>1573</v>
      </c>
      <c r="B38" s="5" t="s">
        <v>1506</v>
      </c>
      <c r="C38" s="5" t="s">
        <v>520</v>
      </c>
      <c r="D38" s="5" t="s">
        <v>14</v>
      </c>
      <c r="E38" s="25" t="s">
        <v>521</v>
      </c>
      <c r="F38" s="5" t="s">
        <v>522</v>
      </c>
      <c r="H38" s="35">
        <v>40570.0</v>
      </c>
      <c r="I38" s="5" t="s">
        <v>156</v>
      </c>
      <c r="J38" s="5" t="s">
        <v>39</v>
      </c>
      <c r="K38" s="5" t="b">
        <v>0</v>
      </c>
      <c r="L38" s="5" t="b">
        <v>0</v>
      </c>
      <c r="N38" s="5">
        <v>3000.0</v>
      </c>
      <c r="O38" s="5">
        <v>0.0</v>
      </c>
      <c r="P38" s="5">
        <v>0.0</v>
      </c>
      <c r="R38" s="5" t="b">
        <v>0</v>
      </c>
      <c r="U38" s="5" t="s">
        <v>1519</v>
      </c>
      <c r="V38" s="5" t="s">
        <v>1508</v>
      </c>
      <c r="W38" s="5" t="s">
        <v>1508</v>
      </c>
      <c r="X38" s="5" t="s">
        <v>1509</v>
      </c>
      <c r="Z38" s="5">
        <v>3000.0</v>
      </c>
      <c r="AB38" s="5">
        <v>0.0</v>
      </c>
      <c r="AC38" s="5" t="s">
        <v>1510</v>
      </c>
      <c r="AE38" s="5">
        <v>3230.0</v>
      </c>
      <c r="AF38" s="36">
        <v>46116.64242412037</v>
      </c>
    </row>
    <row r="39" ht="22.5" hidden="1" customHeight="1">
      <c r="A39" s="5" t="s">
        <v>1574</v>
      </c>
      <c r="B39" s="5" t="s">
        <v>1506</v>
      </c>
      <c r="C39" s="5" t="s">
        <v>1575</v>
      </c>
      <c r="D39" s="5" t="s">
        <v>14</v>
      </c>
      <c r="E39" s="5">
        <v>9.851111082E9</v>
      </c>
      <c r="F39" s="5" t="s">
        <v>524</v>
      </c>
      <c r="G39" s="5">
        <v>4733212.0</v>
      </c>
      <c r="H39" s="35">
        <v>28841.0</v>
      </c>
      <c r="I39" s="5" t="s">
        <v>156</v>
      </c>
      <c r="J39" s="5" t="s">
        <v>39</v>
      </c>
      <c r="K39" s="5" t="b">
        <v>0</v>
      </c>
      <c r="L39" s="5" t="b">
        <v>0</v>
      </c>
      <c r="N39" s="5">
        <v>3000.0</v>
      </c>
      <c r="O39" s="5">
        <v>0.0</v>
      </c>
      <c r="P39" s="5">
        <v>0.0</v>
      </c>
      <c r="R39" s="5" t="b">
        <v>0</v>
      </c>
      <c r="U39" s="5" t="s">
        <v>1519</v>
      </c>
      <c r="V39" s="5" t="s">
        <v>1508</v>
      </c>
      <c r="W39" s="5" t="s">
        <v>1548</v>
      </c>
      <c r="X39" s="5" t="s">
        <v>1509</v>
      </c>
      <c r="Z39" s="5">
        <v>3000.0</v>
      </c>
      <c r="AB39" s="5">
        <v>0.0</v>
      </c>
      <c r="AC39" s="5" t="s">
        <v>1510</v>
      </c>
      <c r="AD39" s="5" t="s">
        <v>1511</v>
      </c>
      <c r="AE39" s="5">
        <v>3237.0</v>
      </c>
      <c r="AF39" s="36">
        <v>46116.641467395835</v>
      </c>
      <c r="AG39" s="5" t="s">
        <v>1549</v>
      </c>
    </row>
    <row r="40" ht="22.5" hidden="1" customHeight="1">
      <c r="A40" s="5" t="s">
        <v>1576</v>
      </c>
      <c r="B40" s="5" t="s">
        <v>1506</v>
      </c>
      <c r="C40" s="5" t="s">
        <v>1379</v>
      </c>
      <c r="D40" s="5" t="s">
        <v>14</v>
      </c>
      <c r="E40" s="5">
        <v>9.840250585E9</v>
      </c>
      <c r="F40" s="5" t="s">
        <v>1380</v>
      </c>
      <c r="G40" s="5">
        <v>6997469.0</v>
      </c>
      <c r="H40" s="35">
        <v>37672.0</v>
      </c>
      <c r="I40" s="5" t="s">
        <v>156</v>
      </c>
      <c r="J40" s="5" t="s">
        <v>46</v>
      </c>
      <c r="K40" s="5" t="b">
        <v>0</v>
      </c>
      <c r="L40" s="5" t="b">
        <v>0</v>
      </c>
      <c r="N40" s="5">
        <v>9000.0</v>
      </c>
      <c r="O40" s="5">
        <v>0.0</v>
      </c>
      <c r="P40" s="5">
        <v>0.0</v>
      </c>
      <c r="R40" s="5" t="b">
        <v>0</v>
      </c>
      <c r="U40" s="5" t="s">
        <v>1519</v>
      </c>
      <c r="V40" s="5" t="s">
        <v>1508</v>
      </c>
      <c r="W40" s="5" t="s">
        <v>1548</v>
      </c>
      <c r="X40" s="5" t="s">
        <v>1509</v>
      </c>
      <c r="Z40" s="5">
        <v>6750.0</v>
      </c>
      <c r="AA40" s="5" t="s">
        <v>955</v>
      </c>
      <c r="AB40" s="5">
        <v>2250.0</v>
      </c>
      <c r="AC40" s="5" t="s">
        <v>1510</v>
      </c>
      <c r="AD40" s="5" t="s">
        <v>1558</v>
      </c>
      <c r="AE40" s="5">
        <v>1545.0</v>
      </c>
      <c r="AF40" s="36">
        <v>46116.44563163194</v>
      </c>
      <c r="AG40" s="5" t="s">
        <v>1549</v>
      </c>
    </row>
    <row r="41" ht="22.5" customHeight="1">
      <c r="A41" s="5" t="s">
        <v>1577</v>
      </c>
      <c r="B41" s="5" t="s">
        <v>1506</v>
      </c>
      <c r="C41" s="5" t="s">
        <v>19</v>
      </c>
      <c r="D41" s="5" t="s">
        <v>14</v>
      </c>
      <c r="E41" s="25" t="s">
        <v>20</v>
      </c>
      <c r="F41" s="5" t="s">
        <v>21</v>
      </c>
      <c r="H41" s="35">
        <v>29441.0</v>
      </c>
      <c r="I41" s="5" t="s">
        <v>16</v>
      </c>
      <c r="J41" s="5" t="s">
        <v>17</v>
      </c>
      <c r="K41" s="5" t="b">
        <v>0</v>
      </c>
      <c r="L41" s="5" t="b">
        <v>0</v>
      </c>
      <c r="N41" s="5">
        <v>1500.0</v>
      </c>
      <c r="O41" s="5">
        <v>0.0</v>
      </c>
      <c r="P41" s="5">
        <v>0.0</v>
      </c>
      <c r="R41" s="5" t="b">
        <v>0</v>
      </c>
      <c r="U41" s="5" t="s">
        <v>1578</v>
      </c>
      <c r="V41" s="5" t="s">
        <v>1508</v>
      </c>
      <c r="W41" s="5" t="s">
        <v>1508</v>
      </c>
      <c r="X41" s="5" t="s">
        <v>1509</v>
      </c>
      <c r="Z41" s="5">
        <v>1200.0</v>
      </c>
      <c r="AA41" s="5" t="s">
        <v>1515</v>
      </c>
      <c r="AB41" s="5">
        <v>300.0</v>
      </c>
      <c r="AC41" s="5" t="s">
        <v>1510</v>
      </c>
      <c r="AD41" s="5" t="s">
        <v>1511</v>
      </c>
      <c r="AE41" s="5">
        <v>4174.0</v>
      </c>
      <c r="AF41" s="36">
        <v>46116.43526798611</v>
      </c>
    </row>
    <row r="42" ht="22.5" customHeight="1">
      <c r="A42" s="5" t="s">
        <v>1579</v>
      </c>
      <c r="B42" s="5" t="s">
        <v>1506</v>
      </c>
      <c r="C42" s="5" t="s">
        <v>170</v>
      </c>
      <c r="D42" s="5" t="s">
        <v>14</v>
      </c>
      <c r="E42" s="25" t="s">
        <v>20</v>
      </c>
      <c r="F42" s="5" t="s">
        <v>21</v>
      </c>
      <c r="H42" s="35">
        <v>25068.0</v>
      </c>
      <c r="I42" s="5" t="s">
        <v>156</v>
      </c>
      <c r="J42" s="5" t="s">
        <v>17</v>
      </c>
      <c r="K42" s="5" t="b">
        <v>0</v>
      </c>
      <c r="L42" s="5" t="b">
        <v>0</v>
      </c>
      <c r="N42" s="5">
        <v>1500.0</v>
      </c>
      <c r="O42" s="5">
        <v>0.0</v>
      </c>
      <c r="P42" s="5">
        <v>0.0</v>
      </c>
      <c r="R42" s="5" t="b">
        <v>0</v>
      </c>
      <c r="U42" s="5" t="s">
        <v>1580</v>
      </c>
      <c r="V42" s="5" t="s">
        <v>1508</v>
      </c>
      <c r="W42" s="5" t="s">
        <v>1508</v>
      </c>
      <c r="X42" s="5" t="s">
        <v>1509</v>
      </c>
      <c r="Z42" s="5">
        <v>1200.0</v>
      </c>
      <c r="AA42" s="5" t="s">
        <v>1515</v>
      </c>
      <c r="AB42" s="5">
        <v>300.0</v>
      </c>
      <c r="AC42" s="5" t="s">
        <v>1510</v>
      </c>
      <c r="AE42" s="5">
        <v>4173.0</v>
      </c>
      <c r="AF42" s="36">
        <v>46116.43362394676</v>
      </c>
    </row>
    <row r="43" ht="22.5" hidden="1" customHeight="1">
      <c r="A43" s="5" t="s">
        <v>1581</v>
      </c>
      <c r="B43" s="5" t="s">
        <v>1506</v>
      </c>
      <c r="C43" s="5" t="s">
        <v>951</v>
      </c>
      <c r="D43" s="5" t="s">
        <v>14</v>
      </c>
      <c r="E43" s="5">
        <v>9.862244267E9</v>
      </c>
      <c r="F43" s="5" t="s">
        <v>952</v>
      </c>
      <c r="H43" s="35">
        <v>38726.0</v>
      </c>
      <c r="I43" s="5" t="s">
        <v>156</v>
      </c>
      <c r="J43" s="5" t="s">
        <v>42</v>
      </c>
      <c r="K43" s="5" t="b">
        <v>0</v>
      </c>
      <c r="L43" s="5" t="b">
        <v>0</v>
      </c>
      <c r="N43" s="5">
        <v>7500.0</v>
      </c>
      <c r="O43" s="5">
        <v>0.0</v>
      </c>
      <c r="P43" s="5">
        <v>0.0</v>
      </c>
      <c r="R43" s="5" t="b">
        <v>0</v>
      </c>
      <c r="U43" s="5" t="s">
        <v>1507</v>
      </c>
      <c r="V43" s="5" t="s">
        <v>1508</v>
      </c>
      <c r="W43" s="5" t="s">
        <v>1508</v>
      </c>
      <c r="X43" s="5" t="s">
        <v>1509</v>
      </c>
      <c r="Z43" s="5">
        <v>5625.0</v>
      </c>
      <c r="AA43" s="5" t="s">
        <v>955</v>
      </c>
      <c r="AB43" s="5">
        <v>1875.0</v>
      </c>
      <c r="AC43" s="5" t="s">
        <v>1510</v>
      </c>
      <c r="AD43" s="5" t="s">
        <v>1511</v>
      </c>
      <c r="AE43" s="5">
        <v>2134.0</v>
      </c>
      <c r="AF43" s="36">
        <v>46116.42928119213</v>
      </c>
    </row>
    <row r="44" ht="22.5" hidden="1" customHeight="1">
      <c r="A44" s="5" t="s">
        <v>1582</v>
      </c>
      <c r="B44" s="5" t="s">
        <v>1506</v>
      </c>
      <c r="C44" s="5" t="s">
        <v>945</v>
      </c>
      <c r="D44" s="5" t="s">
        <v>946</v>
      </c>
      <c r="E44" s="25" t="s">
        <v>947</v>
      </c>
      <c r="F44" s="5" t="s">
        <v>948</v>
      </c>
      <c r="H44" s="35">
        <v>29826.0</v>
      </c>
      <c r="I44" s="5" t="s">
        <v>16</v>
      </c>
      <c r="J44" s="5" t="s">
        <v>42</v>
      </c>
      <c r="K44" s="5" t="b">
        <v>0</v>
      </c>
      <c r="L44" s="5" t="b">
        <v>0</v>
      </c>
      <c r="N44" s="5">
        <v>80.0</v>
      </c>
      <c r="O44" s="5">
        <v>0.0</v>
      </c>
      <c r="P44" s="5">
        <v>0.0</v>
      </c>
      <c r="R44" s="5" t="b">
        <v>0</v>
      </c>
      <c r="U44" s="5" t="s">
        <v>1519</v>
      </c>
      <c r="V44" s="5" t="s">
        <v>1508</v>
      </c>
      <c r="W44" s="5" t="s">
        <v>1508</v>
      </c>
      <c r="X44" s="5" t="s">
        <v>1509</v>
      </c>
      <c r="Z44" s="5">
        <v>0.0</v>
      </c>
      <c r="AA44" s="5" t="s">
        <v>779</v>
      </c>
      <c r="AB44" s="5">
        <v>80.0</v>
      </c>
      <c r="AC44" s="5" t="s">
        <v>1546</v>
      </c>
      <c r="AD44" s="5" t="s">
        <v>1511</v>
      </c>
      <c r="AE44" s="5">
        <v>2133.0</v>
      </c>
      <c r="AF44" s="36">
        <v>46116.42899386574</v>
      </c>
    </row>
    <row r="45" ht="22.5" hidden="1" customHeight="1">
      <c r="A45" s="5" t="s">
        <v>1583</v>
      </c>
      <c r="B45" s="5" t="s">
        <v>1506</v>
      </c>
      <c r="C45" s="5" t="s">
        <v>1381</v>
      </c>
      <c r="D45" s="5" t="s">
        <v>14</v>
      </c>
      <c r="E45" s="5">
        <v>9.851313193E9</v>
      </c>
      <c r="F45" s="5" t="s">
        <v>1382</v>
      </c>
      <c r="G45" s="5">
        <v>6293633.0</v>
      </c>
      <c r="H45" s="35">
        <v>32453.0</v>
      </c>
      <c r="I45" s="5" t="s">
        <v>156</v>
      </c>
      <c r="J45" s="5" t="s">
        <v>46</v>
      </c>
      <c r="K45" s="5" t="b">
        <v>0</v>
      </c>
      <c r="L45" s="5" t="b">
        <v>0</v>
      </c>
      <c r="N45" s="5">
        <v>9000.0</v>
      </c>
      <c r="O45" s="5">
        <v>0.0</v>
      </c>
      <c r="P45" s="5">
        <v>0.0</v>
      </c>
      <c r="R45" s="5" t="b">
        <v>0</v>
      </c>
      <c r="U45" s="5" t="s">
        <v>1519</v>
      </c>
      <c r="V45" s="5" t="s">
        <v>1508</v>
      </c>
      <c r="W45" s="5" t="s">
        <v>1548</v>
      </c>
      <c r="X45" s="5" t="s">
        <v>1509</v>
      </c>
      <c r="Z45" s="5">
        <v>6750.0</v>
      </c>
      <c r="AA45" s="5" t="s">
        <v>955</v>
      </c>
      <c r="AB45" s="5">
        <v>2250.0</v>
      </c>
      <c r="AC45" s="5" t="s">
        <v>1510</v>
      </c>
      <c r="AE45" s="5">
        <v>1541.0</v>
      </c>
      <c r="AF45" s="36">
        <v>46116.427226342596</v>
      </c>
      <c r="AG45" s="5" t="s">
        <v>1549</v>
      </c>
    </row>
    <row r="46" ht="22.5" hidden="1" customHeight="1">
      <c r="A46" s="5" t="s">
        <v>1584</v>
      </c>
      <c r="B46" s="5" t="s">
        <v>1506</v>
      </c>
      <c r="C46" s="5" t="s">
        <v>845</v>
      </c>
      <c r="D46" s="5" t="s">
        <v>366</v>
      </c>
      <c r="E46" s="25" t="s">
        <v>846</v>
      </c>
      <c r="F46" s="5" t="s">
        <v>847</v>
      </c>
      <c r="G46" s="5">
        <v>4588931.0</v>
      </c>
      <c r="H46" s="35">
        <v>35916.0</v>
      </c>
      <c r="I46" s="5" t="s">
        <v>156</v>
      </c>
      <c r="J46" s="5" t="s">
        <v>39</v>
      </c>
      <c r="K46" s="5" t="b">
        <v>0</v>
      </c>
      <c r="L46" s="5" t="b">
        <v>0</v>
      </c>
      <c r="N46" s="5">
        <v>25.0</v>
      </c>
      <c r="O46" s="5">
        <v>0.0</v>
      </c>
      <c r="P46" s="5">
        <v>0.0</v>
      </c>
      <c r="R46" s="5" t="b">
        <v>0</v>
      </c>
      <c r="U46" s="5" t="s">
        <v>1519</v>
      </c>
      <c r="V46" s="5" t="s">
        <v>1508</v>
      </c>
      <c r="W46" s="5" t="s">
        <v>1548</v>
      </c>
      <c r="X46" s="5" t="s">
        <v>1509</v>
      </c>
      <c r="Z46" s="5">
        <v>25.0</v>
      </c>
      <c r="AB46" s="5">
        <v>0.0</v>
      </c>
      <c r="AC46" s="5" t="s">
        <v>1546</v>
      </c>
      <c r="AD46" s="5" t="s">
        <v>1511</v>
      </c>
      <c r="AE46" s="5">
        <v>3223.0</v>
      </c>
      <c r="AF46" s="36">
        <v>46116.28689449074</v>
      </c>
      <c r="AG46" s="5" t="s">
        <v>1549</v>
      </c>
    </row>
    <row r="47" ht="22.5" hidden="1" customHeight="1">
      <c r="A47" s="5" t="s">
        <v>1585</v>
      </c>
      <c r="B47" s="5" t="s">
        <v>1506</v>
      </c>
      <c r="C47" s="5" t="s">
        <v>1007</v>
      </c>
      <c r="D47" s="5" t="s">
        <v>14</v>
      </c>
      <c r="E47" s="25" t="s">
        <v>1008</v>
      </c>
      <c r="F47" s="5" t="s">
        <v>1009</v>
      </c>
      <c r="H47" s="35">
        <v>33709.0</v>
      </c>
      <c r="I47" s="5" t="s">
        <v>156</v>
      </c>
      <c r="J47" s="5" t="s">
        <v>42</v>
      </c>
      <c r="K47" s="5" t="b">
        <v>0</v>
      </c>
      <c r="L47" s="5" t="b">
        <v>0</v>
      </c>
      <c r="N47" s="5">
        <v>7500.0</v>
      </c>
      <c r="O47" s="5">
        <v>0.0</v>
      </c>
      <c r="P47" s="5">
        <v>0.0</v>
      </c>
      <c r="R47" s="5" t="b">
        <v>0</v>
      </c>
      <c r="U47" s="5" t="s">
        <v>1517</v>
      </c>
      <c r="V47" s="5" t="s">
        <v>1508</v>
      </c>
      <c r="W47" s="5" t="s">
        <v>1508</v>
      </c>
      <c r="X47" s="5" t="s">
        <v>1509</v>
      </c>
      <c r="Z47" s="5">
        <v>0.0</v>
      </c>
      <c r="AA47" s="5" t="s">
        <v>779</v>
      </c>
      <c r="AB47" s="5">
        <v>7500.0</v>
      </c>
      <c r="AC47" s="5" t="s">
        <v>1510</v>
      </c>
      <c r="AD47" s="5" t="s">
        <v>1511</v>
      </c>
      <c r="AE47" s="5">
        <v>2131.0</v>
      </c>
      <c r="AF47" s="36">
        <v>46116.15125472222</v>
      </c>
    </row>
    <row r="48" ht="22.5" hidden="1" customHeight="1">
      <c r="A48" s="5" t="s">
        <v>1586</v>
      </c>
      <c r="B48" s="5" t="s">
        <v>1506</v>
      </c>
      <c r="C48" s="5" t="s">
        <v>1328</v>
      </c>
      <c r="D48" s="5" t="s">
        <v>366</v>
      </c>
      <c r="E48" s="25" t="s">
        <v>1329</v>
      </c>
      <c r="F48" s="5" t="s">
        <v>1330</v>
      </c>
      <c r="H48" s="35">
        <v>36390.0</v>
      </c>
      <c r="I48" s="5" t="s">
        <v>156</v>
      </c>
      <c r="J48" s="5" t="s">
        <v>36</v>
      </c>
      <c r="K48" s="5" t="b">
        <v>0</v>
      </c>
      <c r="L48" s="5" t="b">
        <v>0</v>
      </c>
      <c r="N48" s="5">
        <v>150.0</v>
      </c>
      <c r="O48" s="5">
        <v>0.0</v>
      </c>
      <c r="P48" s="5">
        <v>0.0</v>
      </c>
      <c r="R48" s="5" t="b">
        <v>0</v>
      </c>
      <c r="U48" s="5" t="s">
        <v>1507</v>
      </c>
      <c r="V48" s="5" t="s">
        <v>1508</v>
      </c>
      <c r="W48" s="5" t="s">
        <v>1508</v>
      </c>
      <c r="X48" s="5" t="s">
        <v>1509</v>
      </c>
      <c r="Z48" s="5">
        <v>0.0</v>
      </c>
      <c r="AA48" s="5" t="s">
        <v>779</v>
      </c>
      <c r="AB48" s="5">
        <v>150.0</v>
      </c>
      <c r="AC48" s="5" t="s">
        <v>1546</v>
      </c>
      <c r="AD48" s="5" t="s">
        <v>1511</v>
      </c>
      <c r="AE48" s="5">
        <v>1077.0</v>
      </c>
      <c r="AF48" s="36">
        <v>46116.149416747685</v>
      </c>
    </row>
    <row r="49" ht="22.5" hidden="1" customHeight="1">
      <c r="A49" s="5" t="s">
        <v>1587</v>
      </c>
      <c r="B49" s="5" t="s">
        <v>1506</v>
      </c>
      <c r="C49" s="5" t="s">
        <v>1453</v>
      </c>
      <c r="D49" s="5" t="s">
        <v>1454</v>
      </c>
      <c r="E49" s="25" t="s">
        <v>1455</v>
      </c>
      <c r="F49" s="5" t="s">
        <v>1456</v>
      </c>
      <c r="H49" s="35">
        <v>31070.0</v>
      </c>
      <c r="I49" s="5" t="s">
        <v>156</v>
      </c>
      <c r="J49" s="5" t="s">
        <v>46</v>
      </c>
      <c r="K49" s="5" t="b">
        <v>0</v>
      </c>
      <c r="L49" s="5" t="b">
        <v>0</v>
      </c>
      <c r="N49" s="5">
        <v>120.0</v>
      </c>
      <c r="O49" s="5">
        <v>0.0</v>
      </c>
      <c r="P49" s="5">
        <v>0.0</v>
      </c>
      <c r="R49" s="5" t="b">
        <v>0</v>
      </c>
      <c r="U49" s="5" t="s">
        <v>1580</v>
      </c>
      <c r="V49" s="5" t="s">
        <v>1508</v>
      </c>
      <c r="W49" s="5" t="s">
        <v>1508</v>
      </c>
      <c r="X49" s="5" t="s">
        <v>1509</v>
      </c>
      <c r="Z49" s="5">
        <v>0.0</v>
      </c>
      <c r="AA49" s="5" t="s">
        <v>779</v>
      </c>
      <c r="AB49" s="5">
        <v>120.0</v>
      </c>
      <c r="AC49" s="5" t="s">
        <v>1546</v>
      </c>
      <c r="AD49" s="5" t="s">
        <v>1511</v>
      </c>
      <c r="AE49" s="5">
        <v>1539.0</v>
      </c>
      <c r="AF49" s="36">
        <v>46116.14761533565</v>
      </c>
    </row>
    <row r="50" ht="22.5" customHeight="1">
      <c r="A50" s="5" t="s">
        <v>1588</v>
      </c>
      <c r="B50" s="5" t="s">
        <v>1506</v>
      </c>
      <c r="C50" s="5" t="s">
        <v>171</v>
      </c>
      <c r="D50" s="5" t="s">
        <v>14</v>
      </c>
      <c r="E50" s="5">
        <v>9.768759049E9</v>
      </c>
      <c r="F50" s="5" t="s">
        <v>172</v>
      </c>
      <c r="G50" s="5">
        <v>7171935.0</v>
      </c>
      <c r="H50" s="35">
        <v>38853.0</v>
      </c>
      <c r="I50" s="5" t="s">
        <v>156</v>
      </c>
      <c r="J50" s="5" t="s">
        <v>17</v>
      </c>
      <c r="K50" s="5" t="b">
        <v>0</v>
      </c>
      <c r="L50" s="5" t="b">
        <v>0</v>
      </c>
      <c r="N50" s="5">
        <v>1500.0</v>
      </c>
      <c r="O50" s="5">
        <v>0.0</v>
      </c>
      <c r="P50" s="5">
        <v>0.0</v>
      </c>
      <c r="R50" s="5" t="b">
        <v>0</v>
      </c>
      <c r="U50" s="5" t="s">
        <v>1517</v>
      </c>
      <c r="V50" s="5" t="s">
        <v>1508</v>
      </c>
      <c r="W50" s="5" t="s">
        <v>1508</v>
      </c>
      <c r="X50" s="5" t="s">
        <v>1509</v>
      </c>
      <c r="Z50" s="5">
        <v>1125.0</v>
      </c>
      <c r="AA50" s="5" t="s">
        <v>1556</v>
      </c>
      <c r="AB50" s="5">
        <v>375.0</v>
      </c>
      <c r="AC50" s="5" t="s">
        <v>1510</v>
      </c>
      <c r="AE50" s="5">
        <v>4171.0</v>
      </c>
      <c r="AF50" s="36">
        <v>46116.11449597222</v>
      </c>
    </row>
    <row r="51" ht="22.5" customHeight="1">
      <c r="A51" s="5" t="s">
        <v>1589</v>
      </c>
      <c r="B51" s="5" t="s">
        <v>1506</v>
      </c>
      <c r="C51" s="5" t="s">
        <v>173</v>
      </c>
      <c r="D51" s="5" t="s">
        <v>14</v>
      </c>
      <c r="E51" s="5">
        <v>9.863655106E9</v>
      </c>
      <c r="F51" s="5" t="s">
        <v>174</v>
      </c>
      <c r="H51" s="35">
        <v>35762.0</v>
      </c>
      <c r="I51" s="5" t="s">
        <v>156</v>
      </c>
      <c r="J51" s="5" t="s">
        <v>17</v>
      </c>
      <c r="K51" s="5" t="b">
        <v>0</v>
      </c>
      <c r="L51" s="5" t="b">
        <v>0</v>
      </c>
      <c r="N51" s="5">
        <v>1500.0</v>
      </c>
      <c r="O51" s="5">
        <v>0.0</v>
      </c>
      <c r="P51" s="5">
        <v>0.0</v>
      </c>
      <c r="R51" s="5" t="b">
        <v>0</v>
      </c>
      <c r="U51" s="5" t="s">
        <v>1519</v>
      </c>
      <c r="V51" s="5" t="s">
        <v>1508</v>
      </c>
      <c r="W51" s="5" t="s">
        <v>1508</v>
      </c>
      <c r="X51" s="5" t="s">
        <v>1509</v>
      </c>
      <c r="Z51" s="5">
        <v>1500.0</v>
      </c>
      <c r="AB51" s="5">
        <v>0.0</v>
      </c>
      <c r="AC51" s="5" t="s">
        <v>1510</v>
      </c>
      <c r="AE51" s="5">
        <v>4170.0</v>
      </c>
      <c r="AF51" s="36">
        <v>46115.74447664352</v>
      </c>
    </row>
    <row r="52" ht="22.5" hidden="1" customHeight="1">
      <c r="A52" s="5" t="s">
        <v>1590</v>
      </c>
      <c r="B52" s="5" t="s">
        <v>1506</v>
      </c>
      <c r="C52" s="5" t="s">
        <v>525</v>
      </c>
      <c r="D52" s="5" t="s">
        <v>14</v>
      </c>
      <c r="E52" s="5">
        <v>9.860980344E9</v>
      </c>
      <c r="F52" s="5" t="s">
        <v>526</v>
      </c>
      <c r="H52" s="35">
        <v>36510.0</v>
      </c>
      <c r="I52" s="5" t="s">
        <v>156</v>
      </c>
      <c r="J52" s="5" t="s">
        <v>39</v>
      </c>
      <c r="K52" s="5" t="b">
        <v>0</v>
      </c>
      <c r="L52" s="5" t="b">
        <v>0</v>
      </c>
      <c r="N52" s="5">
        <v>3000.0</v>
      </c>
      <c r="O52" s="5">
        <v>0.0</v>
      </c>
      <c r="P52" s="5">
        <v>0.0</v>
      </c>
      <c r="R52" s="5" t="b">
        <v>0</v>
      </c>
      <c r="U52" s="5" t="s">
        <v>1514</v>
      </c>
      <c r="V52" s="5" t="s">
        <v>1508</v>
      </c>
      <c r="W52" s="5" t="s">
        <v>1508</v>
      </c>
      <c r="X52" s="5" t="s">
        <v>1509</v>
      </c>
      <c r="Z52" s="5">
        <v>2400.0</v>
      </c>
      <c r="AA52" s="5" t="s">
        <v>1591</v>
      </c>
      <c r="AB52" s="5">
        <v>600.0</v>
      </c>
      <c r="AC52" s="5" t="s">
        <v>1510</v>
      </c>
      <c r="AE52" s="5">
        <v>3221.0</v>
      </c>
      <c r="AF52" s="36">
        <v>46115.65327553241</v>
      </c>
    </row>
    <row r="53" ht="22.5" hidden="1" customHeight="1">
      <c r="A53" s="5" t="s">
        <v>1592</v>
      </c>
      <c r="B53" s="5" t="s">
        <v>1506</v>
      </c>
      <c r="C53" s="5" t="s">
        <v>527</v>
      </c>
      <c r="D53" s="5" t="s">
        <v>14</v>
      </c>
      <c r="E53" s="5">
        <v>9.763523926E9</v>
      </c>
      <c r="F53" s="5" t="s">
        <v>528</v>
      </c>
      <c r="G53" s="5">
        <v>7018578.0</v>
      </c>
      <c r="H53" s="35">
        <v>33550.0</v>
      </c>
      <c r="I53" s="5" t="s">
        <v>156</v>
      </c>
      <c r="J53" s="5" t="s">
        <v>39</v>
      </c>
      <c r="K53" s="5" t="b">
        <v>0</v>
      </c>
      <c r="L53" s="5" t="b">
        <v>0</v>
      </c>
      <c r="N53" s="5">
        <v>3000.0</v>
      </c>
      <c r="O53" s="5">
        <v>0.0</v>
      </c>
      <c r="P53" s="5">
        <v>0.0</v>
      </c>
      <c r="R53" s="5" t="b">
        <v>0</v>
      </c>
      <c r="U53" s="5" t="s">
        <v>1519</v>
      </c>
      <c r="V53" s="5" t="s">
        <v>1508</v>
      </c>
      <c r="W53" s="5" t="s">
        <v>1508</v>
      </c>
      <c r="X53" s="5" t="s">
        <v>1509</v>
      </c>
      <c r="Z53" s="5">
        <v>2250.0</v>
      </c>
      <c r="AA53" s="5" t="s">
        <v>1526</v>
      </c>
      <c r="AB53" s="5">
        <v>750.0</v>
      </c>
      <c r="AC53" s="5" t="s">
        <v>1510</v>
      </c>
      <c r="AD53" s="5" t="s">
        <v>1558</v>
      </c>
      <c r="AE53" s="5">
        <v>3222.0</v>
      </c>
      <c r="AF53" s="36">
        <v>46115.63111962963</v>
      </c>
    </row>
    <row r="54" ht="22.5" hidden="1" customHeight="1">
      <c r="A54" s="5" t="s">
        <v>1593</v>
      </c>
      <c r="B54" s="5" t="s">
        <v>1506</v>
      </c>
      <c r="C54" s="5" t="s">
        <v>1176</v>
      </c>
      <c r="D54" s="5" t="s">
        <v>14</v>
      </c>
      <c r="E54" s="5">
        <v>9.764266193E9</v>
      </c>
      <c r="F54" s="5" t="s">
        <v>1177</v>
      </c>
      <c r="H54" s="35">
        <v>37697.0</v>
      </c>
      <c r="I54" s="5" t="s">
        <v>16</v>
      </c>
      <c r="J54" s="5" t="s">
        <v>42</v>
      </c>
      <c r="K54" s="5" t="b">
        <v>0</v>
      </c>
      <c r="L54" s="5" t="b">
        <v>0</v>
      </c>
      <c r="N54" s="5">
        <v>7500.0</v>
      </c>
      <c r="O54" s="5">
        <v>0.0</v>
      </c>
      <c r="P54" s="5">
        <v>0.0</v>
      </c>
      <c r="R54" s="5" t="b">
        <v>0</v>
      </c>
      <c r="U54" s="5" t="s">
        <v>1519</v>
      </c>
      <c r="V54" s="5" t="s">
        <v>1508</v>
      </c>
      <c r="W54" s="5" t="s">
        <v>1508</v>
      </c>
      <c r="X54" s="5" t="s">
        <v>1509</v>
      </c>
      <c r="Z54" s="5">
        <v>0.0</v>
      </c>
      <c r="AA54" s="5" t="s">
        <v>779</v>
      </c>
      <c r="AB54" s="5">
        <v>7500.0</v>
      </c>
      <c r="AC54" s="5" t="s">
        <v>1510</v>
      </c>
      <c r="AD54" s="5" t="s">
        <v>1511</v>
      </c>
      <c r="AE54" s="5">
        <v>2130.0</v>
      </c>
      <c r="AF54" s="36">
        <v>46115.616363796296</v>
      </c>
    </row>
    <row r="55" ht="22.5" hidden="1" customHeight="1">
      <c r="A55" s="5" t="s">
        <v>1594</v>
      </c>
      <c r="B55" s="5" t="s">
        <v>1506</v>
      </c>
      <c r="C55" s="5" t="s">
        <v>529</v>
      </c>
      <c r="D55" s="5" t="s">
        <v>14</v>
      </c>
      <c r="E55" s="5">
        <v>9.960167881E9</v>
      </c>
      <c r="F55" s="5" t="s">
        <v>530</v>
      </c>
      <c r="G55" s="5">
        <v>7202931.0</v>
      </c>
      <c r="H55" s="35">
        <v>29156.0</v>
      </c>
      <c r="I55" s="5" t="s">
        <v>156</v>
      </c>
      <c r="J55" s="5" t="s">
        <v>39</v>
      </c>
      <c r="K55" s="5" t="b">
        <v>0</v>
      </c>
      <c r="L55" s="5" t="b">
        <v>0</v>
      </c>
      <c r="N55" s="5">
        <v>3000.0</v>
      </c>
      <c r="O55" s="5">
        <v>0.0</v>
      </c>
      <c r="P55" s="5">
        <v>0.0</v>
      </c>
      <c r="R55" s="5" t="b">
        <v>0</v>
      </c>
      <c r="U55" s="5" t="s">
        <v>1514</v>
      </c>
      <c r="V55" s="5" t="s">
        <v>1508</v>
      </c>
      <c r="W55" s="5" t="s">
        <v>1508</v>
      </c>
      <c r="X55" s="5" t="s">
        <v>1509</v>
      </c>
      <c r="Z55" s="5">
        <v>3000.0</v>
      </c>
      <c r="AB55" s="5">
        <v>0.0</v>
      </c>
      <c r="AC55" s="5" t="s">
        <v>1510</v>
      </c>
      <c r="AE55" s="5">
        <v>3220.0</v>
      </c>
      <c r="AF55" s="36">
        <v>46115.57411039352</v>
      </c>
    </row>
    <row r="56" ht="22.5" hidden="1" customHeight="1">
      <c r="A56" s="5" t="s">
        <v>1595</v>
      </c>
      <c r="B56" s="5" t="s">
        <v>1506</v>
      </c>
      <c r="C56" s="5" t="s">
        <v>531</v>
      </c>
      <c r="D56" s="5" t="s">
        <v>14</v>
      </c>
      <c r="E56" s="5">
        <v>9.861032899E9</v>
      </c>
      <c r="F56" s="5" t="s">
        <v>532</v>
      </c>
      <c r="H56" s="35">
        <v>30079.0</v>
      </c>
      <c r="I56" s="5" t="s">
        <v>156</v>
      </c>
      <c r="J56" s="5" t="s">
        <v>39</v>
      </c>
      <c r="K56" s="5" t="b">
        <v>0</v>
      </c>
      <c r="L56" s="5" t="b">
        <v>0</v>
      </c>
      <c r="N56" s="5">
        <v>3000.0</v>
      </c>
      <c r="O56" s="5">
        <v>0.0</v>
      </c>
      <c r="P56" s="5">
        <v>0.0</v>
      </c>
      <c r="R56" s="5" t="b">
        <v>0</v>
      </c>
      <c r="U56" s="5" t="s">
        <v>1514</v>
      </c>
      <c r="V56" s="5" t="s">
        <v>1508</v>
      </c>
      <c r="W56" s="5" t="s">
        <v>1508</v>
      </c>
      <c r="X56" s="5" t="s">
        <v>1509</v>
      </c>
      <c r="Z56" s="5">
        <v>2250.0</v>
      </c>
      <c r="AA56" s="5" t="s">
        <v>1526</v>
      </c>
      <c r="AB56" s="5">
        <v>750.0</v>
      </c>
      <c r="AC56" s="5" t="s">
        <v>1510</v>
      </c>
      <c r="AE56" s="5">
        <v>3219.0</v>
      </c>
      <c r="AF56" s="36">
        <v>46115.57271201389</v>
      </c>
    </row>
    <row r="57" ht="22.5" hidden="1" customHeight="1">
      <c r="A57" s="5" t="s">
        <v>1596</v>
      </c>
      <c r="B57" s="5" t="s">
        <v>1506</v>
      </c>
      <c r="C57" s="5" t="s">
        <v>1597</v>
      </c>
      <c r="D57" s="5" t="s">
        <v>14</v>
      </c>
      <c r="E57" s="25" t="s">
        <v>534</v>
      </c>
      <c r="F57" s="5" t="s">
        <v>535</v>
      </c>
      <c r="H57" s="35">
        <v>34037.0</v>
      </c>
      <c r="I57" s="5" t="s">
        <v>156</v>
      </c>
      <c r="J57" s="5" t="s">
        <v>39</v>
      </c>
      <c r="K57" s="5" t="b">
        <v>0</v>
      </c>
      <c r="L57" s="5" t="b">
        <v>0</v>
      </c>
      <c r="N57" s="5">
        <v>3000.0</v>
      </c>
      <c r="O57" s="5">
        <v>0.0</v>
      </c>
      <c r="P57" s="5">
        <v>0.0</v>
      </c>
      <c r="R57" s="5" t="b">
        <v>0</v>
      </c>
      <c r="U57" s="5" t="s">
        <v>1519</v>
      </c>
      <c r="V57" s="5" t="s">
        <v>1508</v>
      </c>
      <c r="W57" s="5" t="s">
        <v>1508</v>
      </c>
      <c r="X57" s="5" t="s">
        <v>1509</v>
      </c>
      <c r="Z57" s="5">
        <v>2250.0</v>
      </c>
      <c r="AA57" s="5" t="s">
        <v>1526</v>
      </c>
      <c r="AB57" s="5">
        <v>750.0</v>
      </c>
      <c r="AC57" s="5" t="s">
        <v>1510</v>
      </c>
      <c r="AE57" s="5">
        <v>3218.0</v>
      </c>
      <c r="AF57" s="36">
        <v>46115.56986840278</v>
      </c>
    </row>
    <row r="58" ht="22.5" hidden="1" customHeight="1">
      <c r="A58" s="5" t="s">
        <v>1598</v>
      </c>
      <c r="B58" s="5" t="s">
        <v>1506</v>
      </c>
      <c r="C58" s="5" t="s">
        <v>536</v>
      </c>
      <c r="D58" s="5" t="s">
        <v>14</v>
      </c>
      <c r="E58" s="5">
        <v>9.860183285E9</v>
      </c>
      <c r="F58" s="5" t="s">
        <v>537</v>
      </c>
      <c r="H58" s="35">
        <v>34527.0</v>
      </c>
      <c r="I58" s="5" t="s">
        <v>156</v>
      </c>
      <c r="J58" s="5" t="s">
        <v>39</v>
      </c>
      <c r="K58" s="5" t="b">
        <v>0</v>
      </c>
      <c r="L58" s="5" t="b">
        <v>0</v>
      </c>
      <c r="N58" s="5">
        <v>3000.0</v>
      </c>
      <c r="O58" s="5">
        <v>0.0</v>
      </c>
      <c r="P58" s="5">
        <v>0.0</v>
      </c>
      <c r="R58" s="5" t="b">
        <v>0</v>
      </c>
      <c r="U58" s="5" t="s">
        <v>1519</v>
      </c>
      <c r="V58" s="5" t="s">
        <v>1508</v>
      </c>
      <c r="W58" s="5" t="s">
        <v>1548</v>
      </c>
      <c r="X58" s="5" t="s">
        <v>1509</v>
      </c>
      <c r="Z58" s="5">
        <v>2250.0</v>
      </c>
      <c r="AA58" s="5" t="s">
        <v>1526</v>
      </c>
      <c r="AB58" s="5">
        <v>750.0</v>
      </c>
      <c r="AC58" s="5" t="s">
        <v>1510</v>
      </c>
      <c r="AE58" s="5">
        <v>3217.0</v>
      </c>
      <c r="AF58" s="36">
        <v>46115.564416458335</v>
      </c>
      <c r="AG58" s="5" t="s">
        <v>1549</v>
      </c>
    </row>
    <row r="59" ht="22.5" customHeight="1">
      <c r="A59" s="5" t="s">
        <v>1599</v>
      </c>
      <c r="B59" s="5" t="s">
        <v>1506</v>
      </c>
      <c r="C59" s="5" t="s">
        <v>175</v>
      </c>
      <c r="D59" s="5" t="s">
        <v>14</v>
      </c>
      <c r="E59" s="5">
        <v>9.847907268E9</v>
      </c>
      <c r="F59" s="5" t="s">
        <v>176</v>
      </c>
      <c r="G59" s="5">
        <v>6985680.0</v>
      </c>
      <c r="H59" s="35">
        <v>39541.0</v>
      </c>
      <c r="I59" s="5" t="s">
        <v>156</v>
      </c>
      <c r="J59" s="5" t="s">
        <v>17</v>
      </c>
      <c r="K59" s="5" t="b">
        <v>0</v>
      </c>
      <c r="L59" s="5" t="b">
        <v>0</v>
      </c>
      <c r="N59" s="5">
        <v>1500.0</v>
      </c>
      <c r="O59" s="5">
        <v>0.0</v>
      </c>
      <c r="P59" s="5">
        <v>0.0</v>
      </c>
      <c r="R59" s="5" t="b">
        <v>0</v>
      </c>
      <c r="U59" s="5" t="s">
        <v>1517</v>
      </c>
      <c r="V59" s="5" t="s">
        <v>1508</v>
      </c>
      <c r="W59" s="5" t="s">
        <v>1508</v>
      </c>
      <c r="X59" s="5" t="s">
        <v>1509</v>
      </c>
      <c r="Z59" s="5">
        <v>1125.0</v>
      </c>
      <c r="AA59" s="5" t="s">
        <v>1556</v>
      </c>
      <c r="AB59" s="5">
        <v>375.0</v>
      </c>
      <c r="AC59" s="5" t="s">
        <v>1510</v>
      </c>
      <c r="AE59" s="5">
        <v>4165.0</v>
      </c>
      <c r="AF59" s="36">
        <v>46115.495810092594</v>
      </c>
    </row>
    <row r="60" ht="22.5" hidden="1" customHeight="1">
      <c r="A60" s="5" t="s">
        <v>1600</v>
      </c>
      <c r="B60" s="5" t="s">
        <v>1506</v>
      </c>
      <c r="C60" s="5" t="s">
        <v>420</v>
      </c>
      <c r="D60" s="5" t="s">
        <v>14</v>
      </c>
      <c r="E60" s="25" t="s">
        <v>421</v>
      </c>
      <c r="F60" s="5" t="s">
        <v>422</v>
      </c>
      <c r="H60" s="35">
        <v>35345.0</v>
      </c>
      <c r="I60" s="5" t="s">
        <v>156</v>
      </c>
      <c r="J60" s="5" t="s">
        <v>39</v>
      </c>
      <c r="K60" s="5" t="b">
        <v>0</v>
      </c>
      <c r="L60" s="5" t="b">
        <v>0</v>
      </c>
      <c r="N60" s="5">
        <v>3000.0</v>
      </c>
      <c r="O60" s="5">
        <v>0.0</v>
      </c>
      <c r="P60" s="5">
        <v>0.0</v>
      </c>
      <c r="R60" s="5" t="b">
        <v>0</v>
      </c>
      <c r="U60" s="5" t="s">
        <v>1517</v>
      </c>
      <c r="V60" s="5" t="s">
        <v>1508</v>
      </c>
      <c r="W60" s="5" t="s">
        <v>1508</v>
      </c>
      <c r="X60" s="5" t="s">
        <v>1509</v>
      </c>
      <c r="Z60" s="5">
        <v>3000.0</v>
      </c>
      <c r="AB60" s="5">
        <v>0.0</v>
      </c>
      <c r="AC60" s="5" t="s">
        <v>1510</v>
      </c>
      <c r="AE60" s="5">
        <v>3216.0</v>
      </c>
      <c r="AF60" s="36">
        <v>46115.481058206016</v>
      </c>
    </row>
    <row r="61" ht="22.5" customHeight="1">
      <c r="A61" s="5" t="s">
        <v>1601</v>
      </c>
      <c r="B61" s="5" t="s">
        <v>1506</v>
      </c>
      <c r="C61" s="5" t="s">
        <v>24</v>
      </c>
      <c r="D61" s="5" t="s">
        <v>14</v>
      </c>
      <c r="E61" s="5">
        <v>9.701422912E9</v>
      </c>
      <c r="F61" s="5" t="s">
        <v>25</v>
      </c>
      <c r="H61" s="35">
        <v>34391.0</v>
      </c>
      <c r="I61" s="5" t="s">
        <v>16</v>
      </c>
      <c r="J61" s="5" t="s">
        <v>17</v>
      </c>
      <c r="K61" s="5" t="b">
        <v>0</v>
      </c>
      <c r="L61" s="5" t="b">
        <v>0</v>
      </c>
      <c r="N61" s="5">
        <v>1500.0</v>
      </c>
      <c r="O61" s="5">
        <v>0.0</v>
      </c>
      <c r="P61" s="5">
        <v>0.0</v>
      </c>
      <c r="R61" s="5" t="b">
        <v>0</v>
      </c>
      <c r="U61" s="5" t="s">
        <v>1519</v>
      </c>
      <c r="V61" s="5" t="s">
        <v>1508</v>
      </c>
      <c r="W61" s="5" t="s">
        <v>1508</v>
      </c>
      <c r="X61" s="5" t="s">
        <v>1509</v>
      </c>
      <c r="Z61" s="5">
        <v>1125.0</v>
      </c>
      <c r="AA61" s="5" t="s">
        <v>1556</v>
      </c>
      <c r="AB61" s="5">
        <v>375.0</v>
      </c>
      <c r="AC61" s="5" t="s">
        <v>1510</v>
      </c>
      <c r="AE61" s="5">
        <v>4159.0</v>
      </c>
      <c r="AF61" s="36">
        <v>46115.23610461805</v>
      </c>
    </row>
    <row r="62" ht="22.5" hidden="1" customHeight="1">
      <c r="A62" s="5" t="s">
        <v>1602</v>
      </c>
      <c r="B62" s="5" t="s">
        <v>1506</v>
      </c>
      <c r="C62" s="5" t="s">
        <v>431</v>
      </c>
      <c r="D62" s="5" t="s">
        <v>14</v>
      </c>
      <c r="E62" s="25" t="s">
        <v>432</v>
      </c>
      <c r="F62" s="5" t="s">
        <v>433</v>
      </c>
      <c r="H62" s="35">
        <v>36868.0</v>
      </c>
      <c r="I62" s="5" t="s">
        <v>16</v>
      </c>
      <c r="J62" s="5" t="s">
        <v>39</v>
      </c>
      <c r="K62" s="5" t="b">
        <v>0</v>
      </c>
      <c r="L62" s="5" t="b">
        <v>0</v>
      </c>
      <c r="N62" s="5">
        <v>3000.0</v>
      </c>
      <c r="O62" s="5">
        <v>0.0</v>
      </c>
      <c r="P62" s="5">
        <v>0.0</v>
      </c>
      <c r="R62" s="5" t="b">
        <v>0</v>
      </c>
      <c r="U62" s="5" t="s">
        <v>1507</v>
      </c>
      <c r="V62" s="5" t="s">
        <v>1508</v>
      </c>
      <c r="W62" s="5" t="s">
        <v>1508</v>
      </c>
      <c r="X62" s="5" t="s">
        <v>1509</v>
      </c>
      <c r="Z62" s="5">
        <v>3000.0</v>
      </c>
      <c r="AB62" s="5">
        <v>0.0</v>
      </c>
      <c r="AC62" s="5" t="s">
        <v>1510</v>
      </c>
      <c r="AD62" s="5" t="s">
        <v>1511</v>
      </c>
      <c r="AE62" s="5">
        <v>3208.0</v>
      </c>
      <c r="AF62" s="36">
        <v>46114.66632622685</v>
      </c>
    </row>
    <row r="63" ht="22.5" hidden="1" customHeight="1">
      <c r="A63" s="5" t="s">
        <v>1603</v>
      </c>
      <c r="B63" s="5" t="s">
        <v>1506</v>
      </c>
      <c r="C63" s="5" t="s">
        <v>538</v>
      </c>
      <c r="D63" s="5" t="s">
        <v>14</v>
      </c>
      <c r="E63" s="5">
        <v>9.851078728E9</v>
      </c>
      <c r="F63" s="5" t="s">
        <v>539</v>
      </c>
      <c r="H63" s="35">
        <v>23346.0</v>
      </c>
      <c r="I63" s="5" t="s">
        <v>156</v>
      </c>
      <c r="J63" s="5" t="s">
        <v>39</v>
      </c>
      <c r="K63" s="5" t="b">
        <v>0</v>
      </c>
      <c r="L63" s="5" t="b">
        <v>0</v>
      </c>
      <c r="N63" s="5">
        <v>3000.0</v>
      </c>
      <c r="O63" s="5">
        <v>0.0</v>
      </c>
      <c r="P63" s="5">
        <v>0.0</v>
      </c>
      <c r="R63" s="5" t="b">
        <v>0</v>
      </c>
      <c r="U63" s="5" t="s">
        <v>1519</v>
      </c>
      <c r="V63" s="5" t="s">
        <v>1508</v>
      </c>
      <c r="W63" s="5" t="s">
        <v>1508</v>
      </c>
      <c r="X63" s="5" t="s">
        <v>1509</v>
      </c>
      <c r="Z63" s="5">
        <v>3000.0</v>
      </c>
      <c r="AB63" s="5">
        <v>0.0</v>
      </c>
      <c r="AC63" s="5" t="s">
        <v>1510</v>
      </c>
      <c r="AE63" s="5">
        <v>3206.0</v>
      </c>
      <c r="AF63" s="36">
        <v>46114.114524756944</v>
      </c>
      <c r="AG63" s="5" t="s">
        <v>1604</v>
      </c>
    </row>
    <row r="64" ht="22.5" hidden="1" customHeight="1">
      <c r="A64" s="5" t="s">
        <v>1605</v>
      </c>
      <c r="B64" s="5" t="s">
        <v>1506</v>
      </c>
      <c r="C64" s="5" t="s">
        <v>540</v>
      </c>
      <c r="D64" s="5" t="s">
        <v>14</v>
      </c>
      <c r="E64" s="25" t="s">
        <v>541</v>
      </c>
      <c r="F64" s="5" t="s">
        <v>542</v>
      </c>
      <c r="G64" s="5">
        <v>5090645.0</v>
      </c>
      <c r="H64" s="35">
        <v>33269.0</v>
      </c>
      <c r="I64" s="5" t="s">
        <v>156</v>
      </c>
      <c r="J64" s="5" t="s">
        <v>39</v>
      </c>
      <c r="K64" s="5" t="b">
        <v>0</v>
      </c>
      <c r="L64" s="5" t="b">
        <v>0</v>
      </c>
      <c r="N64" s="5">
        <v>3000.0</v>
      </c>
      <c r="O64" s="5">
        <v>0.0</v>
      </c>
      <c r="P64" s="5">
        <v>0.0</v>
      </c>
      <c r="R64" s="5" t="b">
        <v>0</v>
      </c>
      <c r="U64" s="5" t="s">
        <v>1517</v>
      </c>
      <c r="V64" s="5" t="s">
        <v>1508</v>
      </c>
      <c r="W64" s="5" t="s">
        <v>1548</v>
      </c>
      <c r="X64" s="5" t="s">
        <v>1509</v>
      </c>
      <c r="Z64" s="5">
        <v>3000.0</v>
      </c>
      <c r="AB64" s="5">
        <v>0.0</v>
      </c>
      <c r="AC64" s="5" t="s">
        <v>1510</v>
      </c>
      <c r="AE64" s="5">
        <v>3205.0</v>
      </c>
      <c r="AF64" s="36">
        <v>46114.09607122685</v>
      </c>
      <c r="AG64" s="5" t="s">
        <v>1549</v>
      </c>
    </row>
    <row r="65" ht="22.5" hidden="1" customHeight="1">
      <c r="A65" s="5" t="s">
        <v>1606</v>
      </c>
      <c r="B65" s="5" t="s">
        <v>1506</v>
      </c>
      <c r="C65" s="5" t="s">
        <v>834</v>
      </c>
      <c r="D65" s="5" t="s">
        <v>835</v>
      </c>
      <c r="E65" s="25" t="s">
        <v>836</v>
      </c>
      <c r="F65" s="5" t="s">
        <v>837</v>
      </c>
      <c r="G65" s="5">
        <v>7225240.0</v>
      </c>
      <c r="H65" s="35">
        <v>30864.0</v>
      </c>
      <c r="I65" s="5" t="s">
        <v>156</v>
      </c>
      <c r="J65" s="5" t="s">
        <v>39</v>
      </c>
      <c r="K65" s="5" t="b">
        <v>0</v>
      </c>
      <c r="L65" s="5" t="b">
        <v>0</v>
      </c>
      <c r="N65" s="5">
        <v>25.0</v>
      </c>
      <c r="O65" s="5">
        <v>0.0</v>
      </c>
      <c r="P65" s="5">
        <v>0.0</v>
      </c>
      <c r="R65" s="5" t="b">
        <v>0</v>
      </c>
      <c r="U65" s="5" t="s">
        <v>1519</v>
      </c>
      <c r="V65" s="5" t="s">
        <v>1508</v>
      </c>
      <c r="W65" s="5" t="s">
        <v>1508</v>
      </c>
      <c r="X65" s="5" t="s">
        <v>1509</v>
      </c>
      <c r="Z65" s="5">
        <v>25.0</v>
      </c>
      <c r="AB65" s="5">
        <v>0.0</v>
      </c>
      <c r="AC65" s="5" t="s">
        <v>1546</v>
      </c>
      <c r="AD65" s="5" t="s">
        <v>1511</v>
      </c>
      <c r="AE65" s="5">
        <v>3210.0</v>
      </c>
      <c r="AF65" s="36">
        <v>46113.991105092595</v>
      </c>
    </row>
    <row r="66" ht="22.5" hidden="1" customHeight="1">
      <c r="A66" s="5" t="s">
        <v>1607</v>
      </c>
      <c r="B66" s="5" t="s">
        <v>1506</v>
      </c>
      <c r="C66" s="5" t="s">
        <v>953</v>
      </c>
      <c r="D66" s="5" t="s">
        <v>14</v>
      </c>
      <c r="E66" s="5">
        <v>9.713540998E9</v>
      </c>
      <c r="F66" s="5" t="s">
        <v>954</v>
      </c>
      <c r="G66" s="5" t="s">
        <v>955</v>
      </c>
      <c r="H66" s="35">
        <v>36737.0</v>
      </c>
      <c r="I66" s="5" t="s">
        <v>156</v>
      </c>
      <c r="J66" s="5" t="s">
        <v>42</v>
      </c>
      <c r="K66" s="5" t="b">
        <v>0</v>
      </c>
      <c r="L66" s="5" t="b">
        <v>0</v>
      </c>
      <c r="N66" s="5">
        <v>7500.0</v>
      </c>
      <c r="O66" s="5">
        <v>0.0</v>
      </c>
      <c r="P66" s="5">
        <v>0.0</v>
      </c>
      <c r="R66" s="5" t="b">
        <v>0</v>
      </c>
      <c r="U66" s="5" t="s">
        <v>1519</v>
      </c>
      <c r="V66" s="5" t="s">
        <v>1508</v>
      </c>
      <c r="W66" s="5" t="s">
        <v>1548</v>
      </c>
      <c r="X66" s="5" t="s">
        <v>1509</v>
      </c>
      <c r="Z66" s="5">
        <v>5625.0</v>
      </c>
      <c r="AA66" s="5" t="s">
        <v>955</v>
      </c>
      <c r="AB66" s="5">
        <v>1875.0</v>
      </c>
      <c r="AC66" s="5" t="s">
        <v>1510</v>
      </c>
      <c r="AE66" s="5">
        <v>2127.0</v>
      </c>
      <c r="AF66" s="36">
        <v>46113.608279618056</v>
      </c>
      <c r="AG66" s="5" t="s">
        <v>1549</v>
      </c>
    </row>
    <row r="67" ht="22.5" hidden="1" customHeight="1">
      <c r="A67" s="5" t="s">
        <v>1608</v>
      </c>
      <c r="B67" s="5" t="s">
        <v>1506</v>
      </c>
      <c r="C67" s="5" t="s">
        <v>1359</v>
      </c>
      <c r="D67" s="5" t="s">
        <v>14</v>
      </c>
      <c r="E67" s="5">
        <v>9.816975275E9</v>
      </c>
      <c r="F67" s="5" t="s">
        <v>1360</v>
      </c>
      <c r="G67" s="5" t="s">
        <v>955</v>
      </c>
      <c r="H67" s="35">
        <v>33721.0</v>
      </c>
      <c r="I67" s="5" t="s">
        <v>156</v>
      </c>
      <c r="J67" s="5" t="s">
        <v>36</v>
      </c>
      <c r="K67" s="5" t="b">
        <v>0</v>
      </c>
      <c r="L67" s="5" t="b">
        <v>0</v>
      </c>
      <c r="N67" s="5">
        <v>12000.0</v>
      </c>
      <c r="O67" s="5">
        <v>0.0</v>
      </c>
      <c r="P67" s="5">
        <v>0.0</v>
      </c>
      <c r="R67" s="5" t="b">
        <v>0</v>
      </c>
      <c r="U67" s="5" t="s">
        <v>1519</v>
      </c>
      <c r="V67" s="5" t="s">
        <v>1508</v>
      </c>
      <c r="W67" s="5" t="s">
        <v>1548</v>
      </c>
      <c r="X67" s="5" t="s">
        <v>1509</v>
      </c>
      <c r="Z67" s="5">
        <v>9000.0</v>
      </c>
      <c r="AA67" s="5" t="s">
        <v>955</v>
      </c>
      <c r="AB67" s="5">
        <v>3000.0</v>
      </c>
      <c r="AC67" s="5" t="s">
        <v>1510</v>
      </c>
      <c r="AD67" s="5" t="s">
        <v>1511</v>
      </c>
      <c r="AE67" s="5">
        <v>1076.0</v>
      </c>
      <c r="AF67" s="36">
        <v>46113.60015924768</v>
      </c>
      <c r="AG67" s="5" t="s">
        <v>1549</v>
      </c>
    </row>
    <row r="68" ht="22.5" hidden="1" customHeight="1">
      <c r="A68" s="5" t="s">
        <v>1609</v>
      </c>
      <c r="B68" s="5" t="s">
        <v>1506</v>
      </c>
      <c r="C68" s="5" t="s">
        <v>1359</v>
      </c>
      <c r="D68" s="5" t="s">
        <v>14</v>
      </c>
      <c r="E68" s="5">
        <v>9.816975275E9</v>
      </c>
      <c r="F68" s="5" t="s">
        <v>1360</v>
      </c>
      <c r="G68" s="5" t="s">
        <v>955</v>
      </c>
      <c r="H68" s="35">
        <v>33721.0</v>
      </c>
      <c r="I68" s="5" t="s">
        <v>156</v>
      </c>
      <c r="J68" s="5" t="s">
        <v>36</v>
      </c>
      <c r="K68" s="5" t="b">
        <v>0</v>
      </c>
      <c r="L68" s="5" t="b">
        <v>0</v>
      </c>
      <c r="N68" s="5">
        <v>12000.0</v>
      </c>
      <c r="O68" s="5">
        <v>0.0</v>
      </c>
      <c r="P68" s="5">
        <v>0.0</v>
      </c>
      <c r="R68" s="5" t="b">
        <v>0</v>
      </c>
      <c r="U68" s="5" t="s">
        <v>1519</v>
      </c>
      <c r="V68" s="5" t="s">
        <v>1508</v>
      </c>
      <c r="W68" s="5" t="s">
        <v>1548</v>
      </c>
      <c r="X68" s="5" t="s">
        <v>1509</v>
      </c>
      <c r="Z68" s="5">
        <v>9000.0</v>
      </c>
      <c r="AA68" s="5" t="s">
        <v>955</v>
      </c>
      <c r="AB68" s="5">
        <v>3000.0</v>
      </c>
      <c r="AC68" s="5" t="s">
        <v>1510</v>
      </c>
      <c r="AD68" s="5" t="s">
        <v>1511</v>
      </c>
      <c r="AE68" s="5">
        <v>1074.0</v>
      </c>
      <c r="AF68" s="36">
        <v>46113.59616800926</v>
      </c>
      <c r="AG68" s="5" t="s">
        <v>1549</v>
      </c>
    </row>
    <row r="69" ht="22.5" hidden="1" customHeight="1">
      <c r="A69" s="5" t="s">
        <v>1610</v>
      </c>
      <c r="B69" s="5" t="s">
        <v>1506</v>
      </c>
      <c r="C69" s="5" t="s">
        <v>1169</v>
      </c>
      <c r="D69" s="5" t="s">
        <v>14</v>
      </c>
      <c r="E69" s="25" t="s">
        <v>1170</v>
      </c>
      <c r="F69" s="5" t="s">
        <v>1171</v>
      </c>
      <c r="G69" s="5">
        <v>6662553.0</v>
      </c>
      <c r="H69" s="35">
        <v>32518.0</v>
      </c>
      <c r="I69" s="5" t="s">
        <v>156</v>
      </c>
      <c r="J69" s="5" t="s">
        <v>39</v>
      </c>
      <c r="K69" s="5" t="b">
        <v>0</v>
      </c>
      <c r="L69" s="5" t="b">
        <v>0</v>
      </c>
      <c r="N69" s="5">
        <v>3000.0</v>
      </c>
      <c r="O69" s="5">
        <v>0.0</v>
      </c>
      <c r="P69" s="5">
        <v>0.0</v>
      </c>
      <c r="R69" s="5" t="b">
        <v>0</v>
      </c>
      <c r="U69" s="5" t="s">
        <v>1519</v>
      </c>
      <c r="V69" s="5" t="s">
        <v>1508</v>
      </c>
      <c r="W69" s="5" t="s">
        <v>1508</v>
      </c>
      <c r="X69" s="5" t="s">
        <v>1509</v>
      </c>
      <c r="Z69" s="5">
        <v>2250.0</v>
      </c>
      <c r="AA69" s="5" t="s">
        <v>1526</v>
      </c>
      <c r="AB69" s="5">
        <v>750.0</v>
      </c>
      <c r="AC69" s="5" t="s">
        <v>1510</v>
      </c>
      <c r="AE69" s="5">
        <v>3204.0</v>
      </c>
      <c r="AF69" s="36">
        <v>46113.58410665509</v>
      </c>
    </row>
    <row r="70" ht="22.5" hidden="1" customHeight="1">
      <c r="A70" s="5" t="s">
        <v>1611</v>
      </c>
      <c r="B70" s="5" t="s">
        <v>1506</v>
      </c>
      <c r="C70" s="5" t="s">
        <v>545</v>
      </c>
      <c r="D70" s="5" t="s">
        <v>14</v>
      </c>
      <c r="E70" s="5">
        <v>9.841609414E9</v>
      </c>
      <c r="F70" s="5" t="s">
        <v>546</v>
      </c>
      <c r="H70" s="35">
        <v>31740.0</v>
      </c>
      <c r="I70" s="5" t="s">
        <v>156</v>
      </c>
      <c r="J70" s="5" t="s">
        <v>39</v>
      </c>
      <c r="K70" s="5" t="b">
        <v>0</v>
      </c>
      <c r="L70" s="5" t="b">
        <v>0</v>
      </c>
      <c r="N70" s="5">
        <v>3000.0</v>
      </c>
      <c r="O70" s="5">
        <v>0.0</v>
      </c>
      <c r="P70" s="5">
        <v>0.0</v>
      </c>
      <c r="R70" s="5" t="b">
        <v>0</v>
      </c>
      <c r="U70" s="5" t="s">
        <v>1519</v>
      </c>
      <c r="V70" s="5" t="s">
        <v>1508</v>
      </c>
      <c r="W70" s="5" t="s">
        <v>1508</v>
      </c>
      <c r="X70" s="5" t="s">
        <v>1509</v>
      </c>
      <c r="Z70" s="5">
        <v>2250.0</v>
      </c>
      <c r="AA70" s="5" t="s">
        <v>955</v>
      </c>
      <c r="AB70" s="5">
        <v>750.0</v>
      </c>
      <c r="AC70" s="5" t="s">
        <v>1510</v>
      </c>
      <c r="AE70" s="5">
        <v>3203.0</v>
      </c>
      <c r="AF70" s="36">
        <v>46113.57548523148</v>
      </c>
    </row>
    <row r="71" ht="22.5" hidden="1" customHeight="1">
      <c r="A71" s="5" t="s">
        <v>1612</v>
      </c>
      <c r="B71" s="5" t="s">
        <v>1506</v>
      </c>
      <c r="C71" s="5" t="s">
        <v>956</v>
      </c>
      <c r="D71" s="5" t="s">
        <v>14</v>
      </c>
      <c r="E71" s="5">
        <v>9.841741817E9</v>
      </c>
      <c r="F71" s="5" t="s">
        <v>957</v>
      </c>
      <c r="H71" s="35">
        <v>31630.0</v>
      </c>
      <c r="I71" s="5" t="s">
        <v>156</v>
      </c>
      <c r="J71" s="5" t="s">
        <v>42</v>
      </c>
      <c r="K71" s="5" t="b">
        <v>0</v>
      </c>
      <c r="L71" s="5" t="b">
        <v>0</v>
      </c>
      <c r="N71" s="5">
        <v>7500.0</v>
      </c>
      <c r="O71" s="5">
        <v>0.0</v>
      </c>
      <c r="P71" s="5">
        <v>0.0</v>
      </c>
      <c r="R71" s="5" t="b">
        <v>0</v>
      </c>
      <c r="U71" s="5" t="s">
        <v>1519</v>
      </c>
      <c r="V71" s="5" t="s">
        <v>1508</v>
      </c>
      <c r="W71" s="5" t="s">
        <v>1508</v>
      </c>
      <c r="X71" s="5" t="s">
        <v>1509</v>
      </c>
      <c r="Z71" s="5">
        <v>5625.0</v>
      </c>
      <c r="AA71" s="5" t="s">
        <v>955</v>
      </c>
      <c r="AB71" s="5">
        <v>1875.0</v>
      </c>
      <c r="AC71" s="5" t="s">
        <v>1510</v>
      </c>
      <c r="AE71" s="5">
        <v>2126.0</v>
      </c>
      <c r="AF71" s="36">
        <v>46113.57254983796</v>
      </c>
    </row>
    <row r="72" ht="22.5" hidden="1" customHeight="1">
      <c r="A72" s="5" t="s">
        <v>1613</v>
      </c>
      <c r="B72" s="5" t="s">
        <v>1506</v>
      </c>
      <c r="C72" s="5" t="s">
        <v>958</v>
      </c>
      <c r="D72" s="5" t="s">
        <v>14</v>
      </c>
      <c r="E72" s="5">
        <v>9.851106247E9</v>
      </c>
      <c r="F72" s="5" t="s">
        <v>959</v>
      </c>
      <c r="H72" s="35">
        <v>30310.0</v>
      </c>
      <c r="I72" s="5" t="s">
        <v>156</v>
      </c>
      <c r="J72" s="5" t="s">
        <v>42</v>
      </c>
      <c r="K72" s="5" t="b">
        <v>0</v>
      </c>
      <c r="L72" s="5" t="b">
        <v>0</v>
      </c>
      <c r="N72" s="5">
        <v>7500.0</v>
      </c>
      <c r="O72" s="5">
        <v>0.0</v>
      </c>
      <c r="P72" s="5">
        <v>0.0</v>
      </c>
      <c r="R72" s="5" t="b">
        <v>0</v>
      </c>
      <c r="U72" s="5" t="s">
        <v>1517</v>
      </c>
      <c r="V72" s="5" t="s">
        <v>1508</v>
      </c>
      <c r="W72" s="5" t="s">
        <v>1508</v>
      </c>
      <c r="X72" s="5" t="s">
        <v>1509</v>
      </c>
      <c r="Z72" s="5">
        <v>5625.0</v>
      </c>
      <c r="AA72" s="5" t="s">
        <v>955</v>
      </c>
      <c r="AB72" s="5">
        <v>1875.0</v>
      </c>
      <c r="AC72" s="5" t="s">
        <v>1510</v>
      </c>
      <c r="AE72" s="5">
        <v>2125.0</v>
      </c>
      <c r="AF72" s="36">
        <v>46113.56986483796</v>
      </c>
    </row>
    <row r="73" ht="22.5" hidden="1" customHeight="1">
      <c r="A73" s="5" t="s">
        <v>1614</v>
      </c>
      <c r="B73" s="5" t="s">
        <v>1506</v>
      </c>
      <c r="C73" s="5" t="s">
        <v>547</v>
      </c>
      <c r="D73" s="5" t="s">
        <v>14</v>
      </c>
      <c r="E73" s="5">
        <v>9.808292692E9</v>
      </c>
      <c r="F73" s="5" t="s">
        <v>548</v>
      </c>
      <c r="H73" s="35">
        <v>34272.0</v>
      </c>
      <c r="I73" s="5" t="s">
        <v>156</v>
      </c>
      <c r="J73" s="5" t="s">
        <v>39</v>
      </c>
      <c r="K73" s="5" t="b">
        <v>0</v>
      </c>
      <c r="L73" s="5" t="b">
        <v>0</v>
      </c>
      <c r="N73" s="5">
        <v>3000.0</v>
      </c>
      <c r="O73" s="5">
        <v>0.0</v>
      </c>
      <c r="P73" s="5">
        <v>0.0</v>
      </c>
      <c r="R73" s="5" t="b">
        <v>0</v>
      </c>
      <c r="U73" s="5" t="s">
        <v>1519</v>
      </c>
      <c r="V73" s="5" t="s">
        <v>1508</v>
      </c>
      <c r="W73" s="5" t="s">
        <v>1508</v>
      </c>
      <c r="X73" s="5" t="s">
        <v>1509</v>
      </c>
      <c r="Z73" s="5">
        <v>2250.0</v>
      </c>
      <c r="AA73" s="5" t="s">
        <v>955</v>
      </c>
      <c r="AB73" s="5">
        <v>750.0</v>
      </c>
      <c r="AC73" s="5" t="s">
        <v>1510</v>
      </c>
      <c r="AE73" s="5">
        <v>3200.0</v>
      </c>
      <c r="AF73" s="36">
        <v>46113.56692981481</v>
      </c>
    </row>
    <row r="74" ht="22.5" hidden="1" customHeight="1">
      <c r="A74" s="5" t="s">
        <v>1615</v>
      </c>
      <c r="B74" s="5" t="s">
        <v>1506</v>
      </c>
      <c r="C74" s="5" t="s">
        <v>960</v>
      </c>
      <c r="D74" s="5" t="s">
        <v>14</v>
      </c>
      <c r="E74" s="5">
        <v>9.851130882E9</v>
      </c>
      <c r="F74" s="5" t="s">
        <v>961</v>
      </c>
      <c r="H74" s="35">
        <v>29224.0</v>
      </c>
      <c r="I74" s="5" t="s">
        <v>156</v>
      </c>
      <c r="J74" s="5" t="s">
        <v>42</v>
      </c>
      <c r="K74" s="5" t="b">
        <v>0</v>
      </c>
      <c r="L74" s="5" t="b">
        <v>0</v>
      </c>
      <c r="N74" s="5">
        <v>7500.0</v>
      </c>
      <c r="O74" s="5">
        <v>0.0</v>
      </c>
      <c r="P74" s="5">
        <v>0.0</v>
      </c>
      <c r="R74" s="5" t="b">
        <v>0</v>
      </c>
      <c r="U74" s="5" t="s">
        <v>1517</v>
      </c>
      <c r="V74" s="5" t="s">
        <v>1508</v>
      </c>
      <c r="W74" s="5" t="s">
        <v>1508</v>
      </c>
      <c r="X74" s="5" t="s">
        <v>1509</v>
      </c>
      <c r="Z74" s="5">
        <v>5625.0</v>
      </c>
      <c r="AA74" s="5" t="s">
        <v>955</v>
      </c>
      <c r="AB74" s="5">
        <v>1875.0</v>
      </c>
      <c r="AC74" s="5" t="s">
        <v>1510</v>
      </c>
      <c r="AE74" s="5">
        <v>2124.0</v>
      </c>
      <c r="AF74" s="36">
        <v>46113.56372290509</v>
      </c>
    </row>
    <row r="75" ht="22.5" hidden="1" customHeight="1">
      <c r="A75" s="5" t="s">
        <v>1616</v>
      </c>
      <c r="B75" s="5" t="s">
        <v>1506</v>
      </c>
      <c r="C75" s="5" t="s">
        <v>549</v>
      </c>
      <c r="D75" s="5" t="s">
        <v>14</v>
      </c>
      <c r="E75" s="5">
        <v>9.841214829E9</v>
      </c>
      <c r="F75" s="5" t="s">
        <v>550</v>
      </c>
      <c r="H75" s="35">
        <v>23890.0</v>
      </c>
      <c r="I75" s="5" t="s">
        <v>156</v>
      </c>
      <c r="J75" s="5" t="s">
        <v>39</v>
      </c>
      <c r="K75" s="5" t="b">
        <v>0</v>
      </c>
      <c r="L75" s="5" t="b">
        <v>0</v>
      </c>
      <c r="N75" s="5">
        <v>3000.0</v>
      </c>
      <c r="O75" s="5">
        <v>0.0</v>
      </c>
      <c r="P75" s="5">
        <v>0.0</v>
      </c>
      <c r="R75" s="5" t="b">
        <v>0</v>
      </c>
      <c r="U75" s="5" t="s">
        <v>1514</v>
      </c>
      <c r="V75" s="5" t="s">
        <v>1508</v>
      </c>
      <c r="W75" s="5" t="s">
        <v>1508</v>
      </c>
      <c r="X75" s="5" t="s">
        <v>1509</v>
      </c>
      <c r="Z75" s="5">
        <v>2250.0</v>
      </c>
      <c r="AA75" s="5" t="s">
        <v>955</v>
      </c>
      <c r="AB75" s="5">
        <v>750.0</v>
      </c>
      <c r="AC75" s="5" t="s">
        <v>1510</v>
      </c>
      <c r="AE75" s="5">
        <v>3199.0</v>
      </c>
      <c r="AF75" s="36">
        <v>46113.56045994213</v>
      </c>
    </row>
    <row r="76" ht="22.5" hidden="1" customHeight="1">
      <c r="A76" s="5" t="s">
        <v>1617</v>
      </c>
      <c r="B76" s="5" t="s">
        <v>1506</v>
      </c>
      <c r="C76" s="5" t="s">
        <v>962</v>
      </c>
      <c r="D76" s="5" t="s">
        <v>14</v>
      </c>
      <c r="E76" s="5">
        <v>9.849192257E9</v>
      </c>
      <c r="F76" s="5" t="s">
        <v>963</v>
      </c>
      <c r="H76" s="35">
        <v>29938.0</v>
      </c>
      <c r="I76" s="5" t="s">
        <v>156</v>
      </c>
      <c r="J76" s="5" t="s">
        <v>42</v>
      </c>
      <c r="K76" s="5" t="b">
        <v>0</v>
      </c>
      <c r="L76" s="5" t="b">
        <v>0</v>
      </c>
      <c r="N76" s="5">
        <v>7500.0</v>
      </c>
      <c r="O76" s="5">
        <v>0.0</v>
      </c>
      <c r="P76" s="5">
        <v>0.0</v>
      </c>
      <c r="R76" s="5" t="b">
        <v>0</v>
      </c>
      <c r="U76" s="5" t="s">
        <v>1519</v>
      </c>
      <c r="V76" s="5" t="s">
        <v>1508</v>
      </c>
      <c r="W76" s="5" t="s">
        <v>1508</v>
      </c>
      <c r="X76" s="5" t="s">
        <v>1509</v>
      </c>
      <c r="Z76" s="5">
        <v>5625.0</v>
      </c>
      <c r="AA76" s="5" t="s">
        <v>955</v>
      </c>
      <c r="AB76" s="5">
        <v>1875.0</v>
      </c>
      <c r="AC76" s="5" t="s">
        <v>1510</v>
      </c>
      <c r="AE76" s="5">
        <v>2123.0</v>
      </c>
      <c r="AF76" s="36">
        <v>46113.55694875</v>
      </c>
    </row>
    <row r="77" ht="22.5" hidden="1" customHeight="1">
      <c r="A77" s="5" t="s">
        <v>1618</v>
      </c>
      <c r="B77" s="5" t="s">
        <v>1506</v>
      </c>
      <c r="C77" s="5" t="s">
        <v>964</v>
      </c>
      <c r="D77" s="5" t="s">
        <v>14</v>
      </c>
      <c r="E77" s="5">
        <v>9.851127788E9</v>
      </c>
      <c r="F77" s="5" t="s">
        <v>965</v>
      </c>
      <c r="H77" s="35">
        <v>30446.0</v>
      </c>
      <c r="I77" s="5" t="s">
        <v>156</v>
      </c>
      <c r="J77" s="5" t="s">
        <v>42</v>
      </c>
      <c r="K77" s="5" t="b">
        <v>0</v>
      </c>
      <c r="L77" s="5" t="b">
        <v>0</v>
      </c>
      <c r="N77" s="5">
        <v>7500.0</v>
      </c>
      <c r="O77" s="5">
        <v>0.0</v>
      </c>
      <c r="P77" s="5">
        <v>0.0</v>
      </c>
      <c r="R77" s="5" t="b">
        <v>0</v>
      </c>
      <c r="U77" s="5" t="s">
        <v>1517</v>
      </c>
      <c r="V77" s="5" t="s">
        <v>1508</v>
      </c>
      <c r="W77" s="5" t="s">
        <v>1508</v>
      </c>
      <c r="X77" s="5" t="s">
        <v>1509</v>
      </c>
      <c r="Z77" s="5">
        <v>5625.0</v>
      </c>
      <c r="AA77" s="5" t="s">
        <v>955</v>
      </c>
      <c r="AB77" s="5">
        <v>1875.0</v>
      </c>
      <c r="AC77" s="5" t="s">
        <v>1510</v>
      </c>
      <c r="AE77" s="5">
        <v>2128.0</v>
      </c>
      <c r="AF77" s="36">
        <v>46113.5459518287</v>
      </c>
      <c r="AG77" s="5" t="s">
        <v>1619</v>
      </c>
    </row>
    <row r="78" ht="22.5" hidden="1" customHeight="1">
      <c r="A78" s="5" t="s">
        <v>1620</v>
      </c>
      <c r="B78" s="5" t="s">
        <v>1506</v>
      </c>
      <c r="C78" s="5" t="s">
        <v>551</v>
      </c>
      <c r="D78" s="5" t="s">
        <v>14</v>
      </c>
      <c r="E78" s="5">
        <v>9.814658054E9</v>
      </c>
      <c r="F78" s="5" t="s">
        <v>552</v>
      </c>
      <c r="H78" s="35">
        <v>31766.0</v>
      </c>
      <c r="I78" s="5" t="s">
        <v>156</v>
      </c>
      <c r="J78" s="5" t="s">
        <v>39</v>
      </c>
      <c r="K78" s="5" t="b">
        <v>0</v>
      </c>
      <c r="L78" s="5" t="b">
        <v>0</v>
      </c>
      <c r="N78" s="5">
        <v>3000.0</v>
      </c>
      <c r="O78" s="5">
        <v>0.0</v>
      </c>
      <c r="P78" s="5">
        <v>0.0</v>
      </c>
      <c r="R78" s="5" t="b">
        <v>0</v>
      </c>
      <c r="U78" s="5" t="s">
        <v>1519</v>
      </c>
      <c r="V78" s="5" t="s">
        <v>1508</v>
      </c>
      <c r="W78" s="5" t="s">
        <v>1508</v>
      </c>
      <c r="X78" s="5" t="s">
        <v>1509</v>
      </c>
      <c r="Z78" s="5">
        <v>3000.0</v>
      </c>
      <c r="AB78" s="5">
        <v>0.0</v>
      </c>
      <c r="AC78" s="5" t="s">
        <v>1510</v>
      </c>
      <c r="AD78" s="5" t="s">
        <v>1511</v>
      </c>
      <c r="AE78" s="5">
        <v>3224.0</v>
      </c>
      <c r="AF78" s="36">
        <v>46113.46426988426</v>
      </c>
    </row>
    <row r="79" ht="22.5" hidden="1" customHeight="1">
      <c r="A79" s="5" t="s">
        <v>1621</v>
      </c>
      <c r="B79" s="5" t="s">
        <v>1506</v>
      </c>
      <c r="C79" s="5" t="s">
        <v>868</v>
      </c>
      <c r="D79" s="5" t="s">
        <v>14</v>
      </c>
      <c r="E79" s="5">
        <v>9.818939108E9</v>
      </c>
      <c r="F79" s="5" t="s">
        <v>487</v>
      </c>
      <c r="H79" s="35">
        <v>32143.0</v>
      </c>
      <c r="I79" s="5" t="s">
        <v>16</v>
      </c>
      <c r="J79" s="5" t="s">
        <v>39</v>
      </c>
      <c r="K79" s="5" t="b">
        <v>0</v>
      </c>
      <c r="L79" s="5" t="b">
        <v>0</v>
      </c>
      <c r="N79" s="5">
        <v>3000.0</v>
      </c>
      <c r="O79" s="5">
        <v>0.0</v>
      </c>
      <c r="P79" s="5">
        <v>0.0</v>
      </c>
      <c r="R79" s="5" t="b">
        <v>0</v>
      </c>
      <c r="U79" s="5" t="s">
        <v>1580</v>
      </c>
      <c r="V79" s="5" t="s">
        <v>1508</v>
      </c>
      <c r="W79" s="5" t="s">
        <v>1508</v>
      </c>
      <c r="X79" s="5" t="s">
        <v>1509</v>
      </c>
      <c r="Z79" s="5">
        <v>3000.0</v>
      </c>
      <c r="AB79" s="5">
        <v>0.0</v>
      </c>
      <c r="AC79" s="5" t="s">
        <v>1510</v>
      </c>
      <c r="AE79" s="5">
        <v>3198.0</v>
      </c>
      <c r="AF79" s="36">
        <v>46113.46274952546</v>
      </c>
    </row>
    <row r="80" ht="22.5" hidden="1" customHeight="1">
      <c r="A80" s="5" t="s">
        <v>1622</v>
      </c>
      <c r="B80" s="5" t="s">
        <v>1506</v>
      </c>
      <c r="C80" s="5" t="s">
        <v>486</v>
      </c>
      <c r="D80" s="5" t="s">
        <v>140</v>
      </c>
      <c r="E80" s="5">
        <v>9.819356609E9</v>
      </c>
      <c r="F80" s="5" t="s">
        <v>487</v>
      </c>
      <c r="H80" s="35">
        <v>30578.0</v>
      </c>
      <c r="I80" s="5" t="s">
        <v>16</v>
      </c>
      <c r="J80" s="5" t="s">
        <v>39</v>
      </c>
      <c r="K80" s="5" t="b">
        <v>0</v>
      </c>
      <c r="L80" s="5" t="b">
        <v>0</v>
      </c>
      <c r="N80" s="5">
        <v>3000.0</v>
      </c>
      <c r="O80" s="5">
        <v>0.0</v>
      </c>
      <c r="P80" s="5">
        <v>0.0</v>
      </c>
      <c r="R80" s="5" t="b">
        <v>0</v>
      </c>
      <c r="U80" s="5" t="s">
        <v>1517</v>
      </c>
      <c r="V80" s="5" t="s">
        <v>1508</v>
      </c>
      <c r="W80" s="5" t="s">
        <v>1508</v>
      </c>
      <c r="X80" s="5" t="s">
        <v>1509</v>
      </c>
      <c r="Z80" s="5">
        <v>3000.0</v>
      </c>
      <c r="AB80" s="5">
        <v>0.0</v>
      </c>
      <c r="AC80" s="5" t="s">
        <v>1510</v>
      </c>
      <c r="AE80" s="5">
        <v>3197.0</v>
      </c>
      <c r="AF80" s="36">
        <v>46113.46050915509</v>
      </c>
    </row>
    <row r="81" ht="22.5" hidden="1" customHeight="1">
      <c r="A81" s="5" t="s">
        <v>1623</v>
      </c>
      <c r="B81" s="5" t="s">
        <v>1506</v>
      </c>
      <c r="C81" s="5" t="s">
        <v>507</v>
      </c>
      <c r="D81" s="5" t="s">
        <v>151</v>
      </c>
      <c r="E81" s="25" t="s">
        <v>508</v>
      </c>
      <c r="F81" s="5" t="s">
        <v>509</v>
      </c>
      <c r="H81" s="35">
        <v>32489.0</v>
      </c>
      <c r="I81" s="5" t="s">
        <v>16</v>
      </c>
      <c r="J81" s="5" t="s">
        <v>39</v>
      </c>
      <c r="K81" s="5" t="b">
        <v>0</v>
      </c>
      <c r="L81" s="5" t="b">
        <v>0</v>
      </c>
      <c r="N81" s="5">
        <v>25.0</v>
      </c>
      <c r="O81" s="5">
        <v>0.0</v>
      </c>
      <c r="P81" s="5">
        <v>0.0</v>
      </c>
      <c r="R81" s="5" t="b">
        <v>0</v>
      </c>
      <c r="U81" s="5" t="s">
        <v>1517</v>
      </c>
      <c r="V81" s="5" t="s">
        <v>1508</v>
      </c>
      <c r="W81" s="5" t="s">
        <v>1508</v>
      </c>
      <c r="X81" s="5" t="s">
        <v>1509</v>
      </c>
      <c r="Z81" s="5">
        <v>25.0</v>
      </c>
      <c r="AB81" s="5">
        <v>0.0</v>
      </c>
      <c r="AC81" s="5" t="s">
        <v>1546</v>
      </c>
      <c r="AD81" s="5" t="s">
        <v>1511</v>
      </c>
      <c r="AE81" s="5">
        <v>3209.0</v>
      </c>
      <c r="AF81" s="36">
        <v>46113.44141304398</v>
      </c>
    </row>
    <row r="82" ht="22.5" hidden="1" customHeight="1">
      <c r="A82" s="5" t="s">
        <v>1624</v>
      </c>
      <c r="B82" s="5" t="s">
        <v>1506</v>
      </c>
      <c r="C82" s="5" t="s">
        <v>966</v>
      </c>
      <c r="D82" s="5" t="s">
        <v>14</v>
      </c>
      <c r="E82" s="5">
        <v>9.748284828E9</v>
      </c>
      <c r="F82" s="5" t="s">
        <v>967</v>
      </c>
      <c r="G82" s="5">
        <v>6731801.0</v>
      </c>
      <c r="H82" s="35">
        <v>38515.0</v>
      </c>
      <c r="I82" s="5" t="s">
        <v>156</v>
      </c>
      <c r="J82" s="5" t="s">
        <v>42</v>
      </c>
      <c r="K82" s="5" t="b">
        <v>0</v>
      </c>
      <c r="L82" s="5" t="b">
        <v>0</v>
      </c>
      <c r="N82" s="5">
        <v>7500.0</v>
      </c>
      <c r="O82" s="5">
        <v>0.0</v>
      </c>
      <c r="P82" s="5">
        <v>0.0</v>
      </c>
      <c r="R82" s="5" t="b">
        <v>0</v>
      </c>
      <c r="U82" s="5" t="s">
        <v>1519</v>
      </c>
      <c r="V82" s="5" t="s">
        <v>1508</v>
      </c>
      <c r="W82" s="5" t="s">
        <v>1508</v>
      </c>
      <c r="X82" s="5" t="s">
        <v>1509</v>
      </c>
      <c r="Z82" s="5">
        <v>7500.0</v>
      </c>
      <c r="AB82" s="5">
        <v>0.0</v>
      </c>
      <c r="AC82" s="5" t="s">
        <v>1510</v>
      </c>
      <c r="AD82" s="5" t="s">
        <v>1511</v>
      </c>
      <c r="AE82" s="5">
        <v>2136.0</v>
      </c>
      <c r="AF82" s="36">
        <v>46113.364298645836</v>
      </c>
    </row>
    <row r="83" ht="22.5" hidden="1" customHeight="1">
      <c r="A83" s="5" t="s">
        <v>1625</v>
      </c>
      <c r="B83" s="5" t="s">
        <v>1506</v>
      </c>
      <c r="C83" s="5" t="s">
        <v>553</v>
      </c>
      <c r="D83" s="5" t="s">
        <v>14</v>
      </c>
      <c r="E83" s="5">
        <v>9.851012752E9</v>
      </c>
      <c r="F83" s="5" t="s">
        <v>554</v>
      </c>
      <c r="H83" s="35">
        <v>27048.0</v>
      </c>
      <c r="I83" s="5" t="s">
        <v>156</v>
      </c>
      <c r="J83" s="5" t="s">
        <v>39</v>
      </c>
      <c r="K83" s="5" t="b">
        <v>0</v>
      </c>
      <c r="L83" s="5" t="b">
        <v>0</v>
      </c>
      <c r="N83" s="5">
        <v>3000.0</v>
      </c>
      <c r="O83" s="5">
        <v>0.0</v>
      </c>
      <c r="P83" s="5">
        <v>0.0</v>
      </c>
      <c r="R83" s="5" t="b">
        <v>0</v>
      </c>
      <c r="U83" s="5" t="s">
        <v>1519</v>
      </c>
      <c r="V83" s="5" t="s">
        <v>1508</v>
      </c>
      <c r="W83" s="5" t="s">
        <v>1508</v>
      </c>
      <c r="X83" s="5" t="s">
        <v>1509</v>
      </c>
      <c r="Z83" s="5">
        <v>3000.0</v>
      </c>
      <c r="AB83" s="5">
        <v>0.0</v>
      </c>
      <c r="AC83" s="5" t="s">
        <v>1510</v>
      </c>
      <c r="AE83" s="5">
        <v>3196.0</v>
      </c>
      <c r="AF83" s="36">
        <v>46113.344091122686</v>
      </c>
    </row>
    <row r="84" ht="22.5" customHeight="1">
      <c r="A84" s="5" t="s">
        <v>1626</v>
      </c>
      <c r="B84" s="5" t="s">
        <v>1506</v>
      </c>
      <c r="C84" s="5" t="s">
        <v>27</v>
      </c>
      <c r="D84" s="5" t="s">
        <v>14</v>
      </c>
      <c r="E84" s="5">
        <v>9.851234E9</v>
      </c>
      <c r="F84" s="5" t="s">
        <v>28</v>
      </c>
      <c r="H84" s="35">
        <v>33065.0</v>
      </c>
      <c r="I84" s="5" t="s">
        <v>16</v>
      </c>
      <c r="J84" s="5" t="s">
        <v>17</v>
      </c>
      <c r="K84" s="5" t="b">
        <v>0</v>
      </c>
      <c r="L84" s="5" t="b">
        <v>0</v>
      </c>
      <c r="N84" s="5">
        <v>1500.0</v>
      </c>
      <c r="O84" s="5">
        <v>0.0</v>
      </c>
      <c r="P84" s="5">
        <v>0.0</v>
      </c>
      <c r="R84" s="5" t="b">
        <v>0</v>
      </c>
      <c r="U84" s="5" t="s">
        <v>1507</v>
      </c>
      <c r="V84" s="5" t="s">
        <v>1508</v>
      </c>
      <c r="W84" s="5" t="s">
        <v>1548</v>
      </c>
      <c r="X84" s="5" t="s">
        <v>1509</v>
      </c>
      <c r="Z84" s="5">
        <v>1125.0</v>
      </c>
      <c r="AA84" s="5" t="s">
        <v>1627</v>
      </c>
      <c r="AB84" s="5">
        <v>375.0</v>
      </c>
      <c r="AC84" s="5" t="s">
        <v>1510</v>
      </c>
      <c r="AE84" s="5">
        <v>4157.0</v>
      </c>
      <c r="AF84" s="36">
        <v>46113.2741762963</v>
      </c>
      <c r="AG84" s="5" t="s">
        <v>1549</v>
      </c>
    </row>
    <row r="85" ht="22.5" hidden="1" customHeight="1">
      <c r="A85" s="5" t="s">
        <v>1628</v>
      </c>
      <c r="B85" s="5" t="s">
        <v>1506</v>
      </c>
      <c r="C85" s="5" t="s">
        <v>555</v>
      </c>
      <c r="D85" s="5" t="s">
        <v>14</v>
      </c>
      <c r="E85" s="5">
        <v>9.823716503E9</v>
      </c>
      <c r="F85" s="5" t="s">
        <v>556</v>
      </c>
      <c r="H85" s="35">
        <v>35902.0</v>
      </c>
      <c r="I85" s="5" t="s">
        <v>156</v>
      </c>
      <c r="J85" s="5" t="s">
        <v>39</v>
      </c>
      <c r="K85" s="5" t="b">
        <v>0</v>
      </c>
      <c r="L85" s="5" t="b">
        <v>0</v>
      </c>
      <c r="N85" s="5">
        <v>3000.0</v>
      </c>
      <c r="O85" s="5">
        <v>0.0</v>
      </c>
      <c r="P85" s="5">
        <v>0.0</v>
      </c>
      <c r="R85" s="5" t="b">
        <v>0</v>
      </c>
      <c r="U85" s="5" t="s">
        <v>1517</v>
      </c>
      <c r="V85" s="5" t="s">
        <v>1508</v>
      </c>
      <c r="W85" s="5" t="s">
        <v>1548</v>
      </c>
      <c r="X85" s="5" t="s">
        <v>1509</v>
      </c>
      <c r="Z85" s="5">
        <v>2250.0</v>
      </c>
      <c r="AA85" s="5" t="s">
        <v>1526</v>
      </c>
      <c r="AB85" s="5">
        <v>750.0</v>
      </c>
      <c r="AC85" s="5" t="s">
        <v>1510</v>
      </c>
      <c r="AE85" s="5">
        <v>3194.0</v>
      </c>
      <c r="AF85" s="36">
        <v>46113.18780760417</v>
      </c>
      <c r="AG85" s="5" t="s">
        <v>1549</v>
      </c>
    </row>
    <row r="86" ht="22.5" hidden="1" customHeight="1">
      <c r="A86" s="5" t="s">
        <v>1629</v>
      </c>
      <c r="B86" s="5" t="s">
        <v>1506</v>
      </c>
      <c r="C86" s="5" t="s">
        <v>1224</v>
      </c>
      <c r="D86" s="5" t="s">
        <v>14</v>
      </c>
      <c r="E86" s="5">
        <v>9.767305623E9</v>
      </c>
      <c r="F86" s="5" t="s">
        <v>1225</v>
      </c>
      <c r="H86" s="35">
        <v>37642.0</v>
      </c>
      <c r="I86" s="5" t="s">
        <v>156</v>
      </c>
      <c r="J86" s="5" t="s">
        <v>36</v>
      </c>
      <c r="K86" s="5" t="b">
        <v>0</v>
      </c>
      <c r="L86" s="5" t="b">
        <v>0</v>
      </c>
      <c r="N86" s="5">
        <v>12000.0</v>
      </c>
      <c r="O86" s="5">
        <v>0.0</v>
      </c>
      <c r="P86" s="5">
        <v>0.0</v>
      </c>
      <c r="R86" s="5" t="b">
        <v>0</v>
      </c>
      <c r="U86" s="5" t="s">
        <v>1519</v>
      </c>
      <c r="V86" s="5" t="s">
        <v>1508</v>
      </c>
      <c r="W86" s="5" t="s">
        <v>1508</v>
      </c>
      <c r="X86" s="5" t="s">
        <v>1509</v>
      </c>
      <c r="Z86" s="5">
        <v>9000.0</v>
      </c>
      <c r="AA86" s="5" t="s">
        <v>1630</v>
      </c>
      <c r="AB86" s="5">
        <v>3000.0</v>
      </c>
      <c r="AC86" s="5" t="s">
        <v>1510</v>
      </c>
      <c r="AD86" s="5" t="s">
        <v>1511</v>
      </c>
      <c r="AE86" s="5">
        <v>1075.0</v>
      </c>
      <c r="AF86" s="36">
        <v>46113.16544754629</v>
      </c>
    </row>
    <row r="87" ht="22.5" hidden="1" customHeight="1">
      <c r="A87" s="5" t="s">
        <v>1631</v>
      </c>
      <c r="B87" s="5" t="s">
        <v>1506</v>
      </c>
      <c r="C87" s="5" t="s">
        <v>838</v>
      </c>
      <c r="D87" s="5" t="s">
        <v>835</v>
      </c>
      <c r="E87" s="5">
        <v>9.700047869E9</v>
      </c>
      <c r="F87" s="5" t="s">
        <v>839</v>
      </c>
      <c r="H87" s="35">
        <v>25447.0</v>
      </c>
      <c r="I87" s="5" t="s">
        <v>156</v>
      </c>
      <c r="J87" s="5" t="s">
        <v>39</v>
      </c>
      <c r="K87" s="5" t="b">
        <v>0</v>
      </c>
      <c r="L87" s="5" t="b">
        <v>0</v>
      </c>
      <c r="N87" s="5">
        <v>3000.0</v>
      </c>
      <c r="O87" s="5">
        <v>0.0</v>
      </c>
      <c r="P87" s="5">
        <v>0.0</v>
      </c>
      <c r="R87" s="5" t="b">
        <v>0</v>
      </c>
      <c r="U87" s="5" t="s">
        <v>1517</v>
      </c>
      <c r="V87" s="5" t="s">
        <v>1508</v>
      </c>
      <c r="W87" s="5" t="s">
        <v>1508</v>
      </c>
      <c r="X87" s="5" t="s">
        <v>1509</v>
      </c>
      <c r="Z87" s="5">
        <v>3000.0</v>
      </c>
      <c r="AB87" s="5">
        <v>0.0</v>
      </c>
      <c r="AC87" s="5" t="s">
        <v>1510</v>
      </c>
      <c r="AE87" s="5">
        <v>3192.0</v>
      </c>
      <c r="AF87" s="36">
        <v>46113.10238444444</v>
      </c>
    </row>
    <row r="88" ht="22.5" hidden="1" customHeight="1">
      <c r="A88" s="5" t="s">
        <v>1632</v>
      </c>
      <c r="B88" s="5" t="s">
        <v>1506</v>
      </c>
      <c r="C88" s="5" t="s">
        <v>1172</v>
      </c>
      <c r="D88" s="5" t="s">
        <v>14</v>
      </c>
      <c r="E88" s="5">
        <v>9.851140894E9</v>
      </c>
      <c r="F88" s="5" t="s">
        <v>1173</v>
      </c>
      <c r="H88" s="35">
        <v>32931.0</v>
      </c>
      <c r="I88" s="5" t="s">
        <v>156</v>
      </c>
      <c r="J88" s="5" t="s">
        <v>39</v>
      </c>
      <c r="K88" s="5" t="b">
        <v>0</v>
      </c>
      <c r="L88" s="5" t="b">
        <v>0</v>
      </c>
      <c r="N88" s="5">
        <v>3000.0</v>
      </c>
      <c r="O88" s="5">
        <v>0.0</v>
      </c>
      <c r="P88" s="5">
        <v>0.0</v>
      </c>
      <c r="R88" s="5" t="b">
        <v>0</v>
      </c>
      <c r="U88" s="5" t="s">
        <v>1519</v>
      </c>
      <c r="V88" s="5" t="s">
        <v>1508</v>
      </c>
      <c r="W88" s="5" t="s">
        <v>1548</v>
      </c>
      <c r="X88" s="5" t="s">
        <v>1509</v>
      </c>
      <c r="Z88" s="5">
        <v>2250.0</v>
      </c>
      <c r="AA88" s="5" t="s">
        <v>1526</v>
      </c>
      <c r="AB88" s="5">
        <v>750.0</v>
      </c>
      <c r="AC88" s="5" t="s">
        <v>1510</v>
      </c>
      <c r="AE88" s="5">
        <v>3191.0</v>
      </c>
      <c r="AF88" s="36">
        <v>46113.006820532406</v>
      </c>
      <c r="AG88" s="5" t="s">
        <v>1549</v>
      </c>
    </row>
    <row r="89" ht="22.5" hidden="1" customHeight="1">
      <c r="A89" s="5" t="s">
        <v>1633</v>
      </c>
      <c r="B89" s="5" t="s">
        <v>1506</v>
      </c>
      <c r="C89" s="5" t="s">
        <v>968</v>
      </c>
      <c r="D89" s="5" t="s">
        <v>14</v>
      </c>
      <c r="E89" s="5">
        <v>9.813447644E9</v>
      </c>
      <c r="F89" s="5" t="s">
        <v>969</v>
      </c>
      <c r="H89" s="35">
        <v>34282.0</v>
      </c>
      <c r="I89" s="5" t="s">
        <v>156</v>
      </c>
      <c r="J89" s="5" t="s">
        <v>42</v>
      </c>
      <c r="K89" s="5" t="b">
        <v>0</v>
      </c>
      <c r="L89" s="5" t="b">
        <v>0</v>
      </c>
      <c r="N89" s="5">
        <v>7500.0</v>
      </c>
      <c r="O89" s="5">
        <v>0.0</v>
      </c>
      <c r="P89" s="5">
        <v>0.0</v>
      </c>
      <c r="R89" s="5" t="b">
        <v>0</v>
      </c>
      <c r="U89" s="5" t="s">
        <v>1507</v>
      </c>
      <c r="V89" s="5" t="s">
        <v>1508</v>
      </c>
      <c r="W89" s="5" t="s">
        <v>1548</v>
      </c>
      <c r="X89" s="5" t="s">
        <v>1509</v>
      </c>
      <c r="Z89" s="5">
        <v>7500.0</v>
      </c>
      <c r="AB89" s="5">
        <v>0.0</v>
      </c>
      <c r="AC89" s="5" t="s">
        <v>1510</v>
      </c>
      <c r="AE89" s="5">
        <v>2122.0</v>
      </c>
      <c r="AF89" s="36">
        <v>46112.75774918981</v>
      </c>
      <c r="AG89" s="5" t="s">
        <v>1549</v>
      </c>
    </row>
    <row r="90" ht="22.5" customHeight="1">
      <c r="A90" s="5" t="s">
        <v>1634</v>
      </c>
      <c r="B90" s="5" t="s">
        <v>1506</v>
      </c>
      <c r="C90" s="5" t="s">
        <v>177</v>
      </c>
      <c r="D90" s="5" t="s">
        <v>14</v>
      </c>
      <c r="E90" s="5">
        <v>9.861854358E9</v>
      </c>
      <c r="F90" s="5" t="s">
        <v>178</v>
      </c>
      <c r="H90" s="35">
        <v>36473.0</v>
      </c>
      <c r="I90" s="5" t="s">
        <v>156</v>
      </c>
      <c r="J90" s="5" t="s">
        <v>17</v>
      </c>
      <c r="K90" s="5" t="b">
        <v>0</v>
      </c>
      <c r="L90" s="5" t="b">
        <v>0</v>
      </c>
      <c r="N90" s="5">
        <v>1500.0</v>
      </c>
      <c r="O90" s="5">
        <v>0.0</v>
      </c>
      <c r="P90" s="5">
        <v>0.0</v>
      </c>
      <c r="R90" s="5" t="b">
        <v>0</v>
      </c>
      <c r="U90" s="5" t="s">
        <v>1519</v>
      </c>
      <c r="V90" s="5" t="s">
        <v>1508</v>
      </c>
      <c r="W90" s="5" t="s">
        <v>1508</v>
      </c>
      <c r="X90" s="5" t="s">
        <v>1509</v>
      </c>
      <c r="Z90" s="5">
        <v>1125.0</v>
      </c>
      <c r="AA90" s="5" t="s">
        <v>1526</v>
      </c>
      <c r="AB90" s="5">
        <v>375.0</v>
      </c>
      <c r="AC90" s="5" t="s">
        <v>1510</v>
      </c>
      <c r="AD90" s="5" t="s">
        <v>1551</v>
      </c>
      <c r="AE90" s="5">
        <v>4158.0</v>
      </c>
      <c r="AF90" s="36">
        <v>46112.74726447916</v>
      </c>
    </row>
    <row r="91" ht="22.5" hidden="1" customHeight="1">
      <c r="A91" s="5" t="s">
        <v>1635</v>
      </c>
      <c r="B91" s="5" t="s">
        <v>1506</v>
      </c>
      <c r="C91" s="5" t="s">
        <v>434</v>
      </c>
      <c r="D91" s="5" t="s">
        <v>14</v>
      </c>
      <c r="E91" s="5">
        <v>9.849087216E9</v>
      </c>
      <c r="F91" s="5" t="s">
        <v>435</v>
      </c>
      <c r="G91" s="5">
        <v>7219774.0</v>
      </c>
      <c r="H91" s="35">
        <v>35394.0</v>
      </c>
      <c r="I91" s="5" t="s">
        <v>16</v>
      </c>
      <c r="J91" s="5" t="s">
        <v>39</v>
      </c>
      <c r="K91" s="5" t="b">
        <v>0</v>
      </c>
      <c r="L91" s="5" t="b">
        <v>0</v>
      </c>
      <c r="N91" s="5">
        <v>3000.0</v>
      </c>
      <c r="O91" s="5">
        <v>0.0</v>
      </c>
      <c r="P91" s="5">
        <v>0.0</v>
      </c>
      <c r="R91" s="5" t="b">
        <v>0</v>
      </c>
      <c r="U91" s="5" t="s">
        <v>1507</v>
      </c>
      <c r="V91" s="5" t="s">
        <v>1508</v>
      </c>
      <c r="W91" s="5" t="s">
        <v>1508</v>
      </c>
      <c r="X91" s="5" t="s">
        <v>1509</v>
      </c>
      <c r="Z91" s="5">
        <v>2250.0</v>
      </c>
      <c r="AA91" s="5" t="s">
        <v>1526</v>
      </c>
      <c r="AB91" s="5">
        <v>750.0</v>
      </c>
      <c r="AC91" s="5" t="s">
        <v>1510</v>
      </c>
      <c r="AD91" s="5" t="s">
        <v>1551</v>
      </c>
      <c r="AE91" s="5">
        <v>3193.0</v>
      </c>
      <c r="AF91" s="36">
        <v>46112.73297256944</v>
      </c>
    </row>
    <row r="92" ht="22.5" hidden="1" customHeight="1">
      <c r="A92" s="5" t="s">
        <v>1636</v>
      </c>
      <c r="B92" s="5" t="s">
        <v>1506</v>
      </c>
      <c r="C92" s="5" t="s">
        <v>1226</v>
      </c>
      <c r="D92" s="5" t="s">
        <v>14</v>
      </c>
      <c r="E92" s="5">
        <v>9.808898985E9</v>
      </c>
      <c r="F92" s="5" t="s">
        <v>1227</v>
      </c>
      <c r="H92" s="35">
        <v>35259.0</v>
      </c>
      <c r="I92" s="5" t="s">
        <v>156</v>
      </c>
      <c r="J92" s="5" t="s">
        <v>36</v>
      </c>
      <c r="K92" s="5" t="b">
        <v>0</v>
      </c>
      <c r="L92" s="5" t="b">
        <v>0</v>
      </c>
      <c r="N92" s="5">
        <v>12000.0</v>
      </c>
      <c r="O92" s="5">
        <v>0.0</v>
      </c>
      <c r="P92" s="5">
        <v>0.0</v>
      </c>
      <c r="R92" s="5" t="b">
        <v>0</v>
      </c>
      <c r="U92" s="5" t="s">
        <v>1519</v>
      </c>
      <c r="V92" s="5" t="s">
        <v>1508</v>
      </c>
      <c r="W92" s="5" t="s">
        <v>1548</v>
      </c>
      <c r="X92" s="5" t="s">
        <v>1509</v>
      </c>
      <c r="Z92" s="5">
        <v>9000.0</v>
      </c>
      <c r="AA92" s="5" t="s">
        <v>1526</v>
      </c>
      <c r="AB92" s="5">
        <v>3000.0</v>
      </c>
      <c r="AC92" s="5" t="s">
        <v>1510</v>
      </c>
      <c r="AE92" s="5">
        <v>1073.0</v>
      </c>
      <c r="AF92" s="36">
        <v>46112.71201387732</v>
      </c>
      <c r="AG92" s="5" t="s">
        <v>1637</v>
      </c>
    </row>
    <row r="93" ht="22.5" hidden="1" customHeight="1">
      <c r="A93" s="5" t="s">
        <v>1638</v>
      </c>
      <c r="B93" s="5" t="s">
        <v>1506</v>
      </c>
      <c r="C93" s="5" t="s">
        <v>1228</v>
      </c>
      <c r="D93" s="5" t="s">
        <v>14</v>
      </c>
      <c r="E93" s="5">
        <v>9.805963372E9</v>
      </c>
      <c r="F93" s="5" t="s">
        <v>1229</v>
      </c>
      <c r="H93" s="35">
        <v>36843.0</v>
      </c>
      <c r="I93" s="5" t="s">
        <v>156</v>
      </c>
      <c r="J93" s="5" t="s">
        <v>36</v>
      </c>
      <c r="K93" s="5" t="b">
        <v>0</v>
      </c>
      <c r="L93" s="5" t="b">
        <v>0</v>
      </c>
      <c r="N93" s="5">
        <v>12000.0</v>
      </c>
      <c r="O93" s="5">
        <v>0.0</v>
      </c>
      <c r="P93" s="5">
        <v>0.0</v>
      </c>
      <c r="R93" s="5" t="b">
        <v>0</v>
      </c>
      <c r="U93" s="5" t="s">
        <v>1519</v>
      </c>
      <c r="V93" s="5" t="s">
        <v>1508</v>
      </c>
      <c r="W93" s="5" t="s">
        <v>1508</v>
      </c>
      <c r="X93" s="5" t="s">
        <v>1509</v>
      </c>
      <c r="Z93" s="5">
        <v>9000.0</v>
      </c>
      <c r="AA93" s="5" t="s">
        <v>1526</v>
      </c>
      <c r="AB93" s="5">
        <v>3000.0</v>
      </c>
      <c r="AC93" s="5" t="s">
        <v>1510</v>
      </c>
      <c r="AE93" s="5">
        <v>1072.0</v>
      </c>
      <c r="AF93" s="36">
        <v>46112.70567856482</v>
      </c>
    </row>
    <row r="94" ht="22.5" hidden="1" customHeight="1">
      <c r="A94" s="5" t="s">
        <v>1639</v>
      </c>
      <c r="B94" s="5" t="s">
        <v>1506</v>
      </c>
      <c r="C94" s="5" t="s">
        <v>557</v>
      </c>
      <c r="D94" s="5" t="s">
        <v>14</v>
      </c>
      <c r="E94" s="5">
        <v>9.828136746E9</v>
      </c>
      <c r="F94" s="5" t="s">
        <v>558</v>
      </c>
      <c r="H94" s="35">
        <v>37744.0</v>
      </c>
      <c r="I94" s="5" t="s">
        <v>156</v>
      </c>
      <c r="J94" s="5" t="s">
        <v>39</v>
      </c>
      <c r="K94" s="5" t="b">
        <v>0</v>
      </c>
      <c r="L94" s="5" t="b">
        <v>0</v>
      </c>
      <c r="N94" s="5">
        <v>3000.0</v>
      </c>
      <c r="O94" s="5">
        <v>0.0</v>
      </c>
      <c r="P94" s="5">
        <v>0.0</v>
      </c>
      <c r="R94" s="5" t="b">
        <v>0</v>
      </c>
      <c r="U94" s="5" t="s">
        <v>1517</v>
      </c>
      <c r="V94" s="5" t="s">
        <v>1508</v>
      </c>
      <c r="W94" s="5" t="s">
        <v>1548</v>
      </c>
      <c r="X94" s="5" t="s">
        <v>1509</v>
      </c>
      <c r="Z94" s="5">
        <v>3000.0</v>
      </c>
      <c r="AB94" s="5">
        <v>0.0</v>
      </c>
      <c r="AC94" s="5" t="s">
        <v>1510</v>
      </c>
      <c r="AE94" s="5">
        <v>3190.0</v>
      </c>
      <c r="AF94" s="36">
        <v>46112.70421783565</v>
      </c>
      <c r="AG94" s="5" t="s">
        <v>1549</v>
      </c>
    </row>
    <row r="95" ht="22.5" customHeight="1">
      <c r="A95" s="5" t="s">
        <v>1640</v>
      </c>
      <c r="B95" s="5" t="s">
        <v>1506</v>
      </c>
      <c r="C95" s="5" t="s">
        <v>179</v>
      </c>
      <c r="D95" s="5" t="s">
        <v>14</v>
      </c>
      <c r="E95" s="25" t="s">
        <v>180</v>
      </c>
      <c r="F95" s="5" t="s">
        <v>181</v>
      </c>
      <c r="H95" s="35">
        <v>35929.0</v>
      </c>
      <c r="I95" s="5" t="s">
        <v>156</v>
      </c>
      <c r="J95" s="5" t="s">
        <v>17</v>
      </c>
      <c r="K95" s="5" t="b">
        <v>0</v>
      </c>
      <c r="L95" s="5" t="b">
        <v>0</v>
      </c>
      <c r="N95" s="5">
        <v>1500.0</v>
      </c>
      <c r="O95" s="5">
        <v>0.0</v>
      </c>
      <c r="P95" s="5">
        <v>0.0</v>
      </c>
      <c r="R95" s="5" t="b">
        <v>0</v>
      </c>
      <c r="U95" s="5" t="s">
        <v>1517</v>
      </c>
      <c r="V95" s="5" t="s">
        <v>1508</v>
      </c>
      <c r="W95" s="5" t="s">
        <v>1508</v>
      </c>
      <c r="X95" s="5" t="s">
        <v>1509</v>
      </c>
      <c r="Z95" s="5">
        <v>1500.0</v>
      </c>
      <c r="AB95" s="5">
        <v>0.0</v>
      </c>
      <c r="AC95" s="5" t="s">
        <v>1510</v>
      </c>
      <c r="AE95" s="5">
        <v>4156.0</v>
      </c>
      <c r="AF95" s="36">
        <v>46112.69776436342</v>
      </c>
    </row>
    <row r="96" ht="22.5" hidden="1" customHeight="1">
      <c r="A96" s="5" t="s">
        <v>1641</v>
      </c>
      <c r="B96" s="5" t="s">
        <v>1506</v>
      </c>
      <c r="C96" s="5" t="s">
        <v>559</v>
      </c>
      <c r="D96" s="5" t="s">
        <v>14</v>
      </c>
      <c r="E96" s="5">
        <v>9.848313617E9</v>
      </c>
      <c r="F96" s="5" t="s">
        <v>560</v>
      </c>
      <c r="H96" s="35">
        <v>34876.0</v>
      </c>
      <c r="I96" s="5" t="s">
        <v>156</v>
      </c>
      <c r="J96" s="5" t="s">
        <v>39</v>
      </c>
      <c r="K96" s="5" t="b">
        <v>0</v>
      </c>
      <c r="L96" s="5" t="b">
        <v>0</v>
      </c>
      <c r="N96" s="5">
        <v>3000.0</v>
      </c>
      <c r="O96" s="5">
        <v>0.0</v>
      </c>
      <c r="P96" s="5">
        <v>0.0</v>
      </c>
      <c r="R96" s="5" t="b">
        <v>0</v>
      </c>
      <c r="U96" s="5" t="s">
        <v>1517</v>
      </c>
      <c r="V96" s="5" t="s">
        <v>1508</v>
      </c>
      <c r="W96" s="5" t="s">
        <v>1548</v>
      </c>
      <c r="X96" s="5" t="s">
        <v>1509</v>
      </c>
      <c r="Z96" s="5">
        <v>0.0</v>
      </c>
      <c r="AA96" s="5" t="s">
        <v>779</v>
      </c>
      <c r="AB96" s="5">
        <v>3000.0</v>
      </c>
      <c r="AC96" s="5" t="s">
        <v>1510</v>
      </c>
      <c r="AD96" s="5" t="s">
        <v>1511</v>
      </c>
      <c r="AE96" s="5">
        <v>3207.0</v>
      </c>
      <c r="AF96" s="36">
        <v>46112.694149560186</v>
      </c>
      <c r="AG96" s="5" t="s">
        <v>1549</v>
      </c>
    </row>
    <row r="97" ht="22.5" customHeight="1">
      <c r="A97" s="5" t="s">
        <v>1642</v>
      </c>
      <c r="B97" s="5" t="s">
        <v>1506</v>
      </c>
      <c r="C97" s="5" t="s">
        <v>182</v>
      </c>
      <c r="D97" s="5" t="s">
        <v>14</v>
      </c>
      <c r="E97" s="5">
        <v>9.849645166E9</v>
      </c>
      <c r="F97" s="5" t="s">
        <v>183</v>
      </c>
      <c r="H97" s="35">
        <v>34111.0</v>
      </c>
      <c r="I97" s="5" t="s">
        <v>156</v>
      </c>
      <c r="J97" s="5" t="s">
        <v>17</v>
      </c>
      <c r="K97" s="5" t="b">
        <v>0</v>
      </c>
      <c r="L97" s="5" t="b">
        <v>0</v>
      </c>
      <c r="N97" s="5">
        <v>1500.0</v>
      </c>
      <c r="O97" s="5">
        <v>0.0</v>
      </c>
      <c r="P97" s="5">
        <v>0.0</v>
      </c>
      <c r="R97" s="5" t="b">
        <v>0</v>
      </c>
      <c r="U97" s="5" t="s">
        <v>1578</v>
      </c>
      <c r="V97" s="5" t="s">
        <v>1508</v>
      </c>
      <c r="W97" s="5" t="s">
        <v>1508</v>
      </c>
      <c r="X97" s="5" t="s">
        <v>1509</v>
      </c>
      <c r="Z97" s="5">
        <v>1500.0</v>
      </c>
      <c r="AB97" s="5">
        <v>0.0</v>
      </c>
      <c r="AC97" s="5" t="s">
        <v>1510</v>
      </c>
      <c r="AE97" s="5">
        <v>4155.0</v>
      </c>
      <c r="AF97" s="36">
        <v>46112.69384607639</v>
      </c>
    </row>
    <row r="98" ht="22.5" hidden="1" customHeight="1">
      <c r="A98" s="5" t="s">
        <v>1643</v>
      </c>
      <c r="B98" s="5" t="s">
        <v>1506</v>
      </c>
      <c r="C98" s="5" t="s">
        <v>1230</v>
      </c>
      <c r="D98" s="5" t="s">
        <v>14</v>
      </c>
      <c r="E98" s="25" t="s">
        <v>1231</v>
      </c>
      <c r="F98" s="5" t="s">
        <v>1232</v>
      </c>
      <c r="G98" s="5">
        <v>5297056.0</v>
      </c>
      <c r="H98" s="35">
        <v>33828.0</v>
      </c>
      <c r="I98" s="5" t="s">
        <v>156</v>
      </c>
      <c r="J98" s="5" t="s">
        <v>36</v>
      </c>
      <c r="K98" s="5" t="b">
        <v>0</v>
      </c>
      <c r="L98" s="5" t="b">
        <v>0</v>
      </c>
      <c r="N98" s="5">
        <v>12000.0</v>
      </c>
      <c r="O98" s="5">
        <v>0.0</v>
      </c>
      <c r="P98" s="5">
        <v>0.0</v>
      </c>
      <c r="R98" s="5" t="b">
        <v>0</v>
      </c>
      <c r="U98" s="5" t="s">
        <v>1519</v>
      </c>
      <c r="V98" s="5" t="s">
        <v>1508</v>
      </c>
      <c r="W98" s="5" t="s">
        <v>1508</v>
      </c>
      <c r="X98" s="5" t="s">
        <v>1509</v>
      </c>
      <c r="Z98" s="5">
        <v>0.0</v>
      </c>
      <c r="AA98" s="5" t="s">
        <v>779</v>
      </c>
      <c r="AB98" s="5">
        <v>12000.0</v>
      </c>
      <c r="AC98" s="5" t="s">
        <v>1510</v>
      </c>
      <c r="AD98" s="5" t="s">
        <v>1511</v>
      </c>
      <c r="AE98" s="5">
        <v>1071.0</v>
      </c>
      <c r="AF98" s="36">
        <v>46112.689448425925</v>
      </c>
    </row>
    <row r="99" ht="22.5" hidden="1" customHeight="1">
      <c r="A99" s="5" t="s">
        <v>1644</v>
      </c>
      <c r="B99" s="5" t="s">
        <v>1506</v>
      </c>
      <c r="C99" s="5" t="s">
        <v>561</v>
      </c>
      <c r="D99" s="5" t="s">
        <v>14</v>
      </c>
      <c r="E99" s="5">
        <v>9.748261185E9</v>
      </c>
      <c r="F99" s="5" t="s">
        <v>562</v>
      </c>
      <c r="H99" s="35">
        <v>38593.0</v>
      </c>
      <c r="I99" s="5" t="s">
        <v>156</v>
      </c>
      <c r="J99" s="5" t="s">
        <v>39</v>
      </c>
      <c r="K99" s="5" t="b">
        <v>0</v>
      </c>
      <c r="L99" s="5" t="b">
        <v>0</v>
      </c>
      <c r="N99" s="5">
        <v>3000.0</v>
      </c>
      <c r="O99" s="5">
        <v>0.0</v>
      </c>
      <c r="P99" s="5">
        <v>0.0</v>
      </c>
      <c r="R99" s="5" t="b">
        <v>0</v>
      </c>
      <c r="U99" s="5" t="s">
        <v>1578</v>
      </c>
      <c r="V99" s="5" t="s">
        <v>1508</v>
      </c>
      <c r="W99" s="5" t="s">
        <v>1548</v>
      </c>
      <c r="X99" s="5" t="s">
        <v>1509</v>
      </c>
      <c r="Z99" s="5">
        <v>2250.0</v>
      </c>
      <c r="AA99" s="5" t="s">
        <v>1526</v>
      </c>
      <c r="AB99" s="5">
        <v>750.0</v>
      </c>
      <c r="AC99" s="5" t="s">
        <v>1510</v>
      </c>
      <c r="AE99" s="5">
        <v>3184.0</v>
      </c>
      <c r="AF99" s="36">
        <v>46112.65976502315</v>
      </c>
      <c r="AG99" s="5" t="s">
        <v>1549</v>
      </c>
    </row>
    <row r="100" ht="22.5" customHeight="1">
      <c r="A100" s="5" t="s">
        <v>1645</v>
      </c>
      <c r="B100" s="5" t="s">
        <v>1506</v>
      </c>
      <c r="C100" s="5" t="s">
        <v>187</v>
      </c>
      <c r="D100" s="5" t="s">
        <v>14</v>
      </c>
      <c r="E100" s="25" t="s">
        <v>188</v>
      </c>
      <c r="F100" s="5" t="s">
        <v>189</v>
      </c>
      <c r="H100" s="35">
        <v>30822.0</v>
      </c>
      <c r="I100" s="5" t="s">
        <v>156</v>
      </c>
      <c r="J100" s="5" t="s">
        <v>17</v>
      </c>
      <c r="K100" s="5" t="b">
        <v>0</v>
      </c>
      <c r="L100" s="5" t="b">
        <v>0</v>
      </c>
      <c r="N100" s="5">
        <v>1500.0</v>
      </c>
      <c r="O100" s="5">
        <v>0.0</v>
      </c>
      <c r="P100" s="5">
        <v>0.0</v>
      </c>
      <c r="R100" s="5" t="b">
        <v>0</v>
      </c>
      <c r="U100" s="5" t="s">
        <v>1519</v>
      </c>
      <c r="V100" s="5" t="s">
        <v>1508</v>
      </c>
      <c r="W100" s="5" t="s">
        <v>1508</v>
      </c>
      <c r="X100" s="5" t="s">
        <v>1509</v>
      </c>
      <c r="Z100" s="5">
        <v>1125.0</v>
      </c>
      <c r="AA100" s="5" t="s">
        <v>1526</v>
      </c>
      <c r="AB100" s="5">
        <v>375.0</v>
      </c>
      <c r="AC100" s="5" t="s">
        <v>1510</v>
      </c>
      <c r="AE100" s="5">
        <v>4150.0</v>
      </c>
      <c r="AF100" s="36">
        <v>46112.65788708333</v>
      </c>
    </row>
    <row r="101" ht="22.5" hidden="1" customHeight="1">
      <c r="A101" s="5" t="s">
        <v>1646</v>
      </c>
      <c r="B101" s="5" t="s">
        <v>1506</v>
      </c>
      <c r="C101" s="5" t="s">
        <v>563</v>
      </c>
      <c r="D101" s="5" t="s">
        <v>14</v>
      </c>
      <c r="E101" s="25" t="s">
        <v>564</v>
      </c>
      <c r="F101" s="5" t="s">
        <v>565</v>
      </c>
      <c r="H101" s="35">
        <v>31200.0</v>
      </c>
      <c r="I101" s="5" t="s">
        <v>156</v>
      </c>
      <c r="J101" s="5" t="s">
        <v>39</v>
      </c>
      <c r="K101" s="5" t="b">
        <v>0</v>
      </c>
      <c r="L101" s="5" t="b">
        <v>0</v>
      </c>
      <c r="N101" s="5">
        <v>3000.0</v>
      </c>
      <c r="O101" s="5">
        <v>0.0</v>
      </c>
      <c r="P101" s="5">
        <v>0.0</v>
      </c>
      <c r="R101" s="5" t="b">
        <v>0</v>
      </c>
      <c r="U101" s="5" t="s">
        <v>1517</v>
      </c>
      <c r="V101" s="5" t="s">
        <v>1508</v>
      </c>
      <c r="W101" s="5" t="s">
        <v>1548</v>
      </c>
      <c r="X101" s="5" t="s">
        <v>1509</v>
      </c>
      <c r="Z101" s="5">
        <v>2250.0</v>
      </c>
      <c r="AA101" s="5" t="s">
        <v>1526</v>
      </c>
      <c r="AB101" s="5">
        <v>750.0</v>
      </c>
      <c r="AC101" s="5" t="s">
        <v>1510</v>
      </c>
      <c r="AE101" s="5">
        <v>3183.0</v>
      </c>
      <c r="AF101" s="36">
        <v>46112.6533512963</v>
      </c>
      <c r="AG101" s="5" t="s">
        <v>1549</v>
      </c>
    </row>
    <row r="102" ht="22.5" hidden="1" customHeight="1">
      <c r="A102" s="5" t="s">
        <v>1647</v>
      </c>
      <c r="B102" s="5" t="s">
        <v>1506</v>
      </c>
      <c r="C102" s="5" t="s">
        <v>566</v>
      </c>
      <c r="D102" s="5" t="s">
        <v>14</v>
      </c>
      <c r="E102" s="5">
        <v>9.862179627E9</v>
      </c>
      <c r="F102" s="5" t="s">
        <v>567</v>
      </c>
      <c r="H102" s="35">
        <v>37228.0</v>
      </c>
      <c r="I102" s="5" t="s">
        <v>156</v>
      </c>
      <c r="J102" s="5" t="s">
        <v>39</v>
      </c>
      <c r="K102" s="5" t="b">
        <v>0</v>
      </c>
      <c r="L102" s="5" t="b">
        <v>0</v>
      </c>
      <c r="N102" s="5">
        <v>3000.0</v>
      </c>
      <c r="O102" s="5">
        <v>0.0</v>
      </c>
      <c r="P102" s="5">
        <v>0.0</v>
      </c>
      <c r="R102" s="5" t="b">
        <v>0</v>
      </c>
      <c r="U102" s="5" t="s">
        <v>1517</v>
      </c>
      <c r="V102" s="5" t="s">
        <v>1508</v>
      </c>
      <c r="W102" s="5" t="s">
        <v>1508</v>
      </c>
      <c r="X102" s="5" t="s">
        <v>1509</v>
      </c>
      <c r="Z102" s="5">
        <v>3000.0</v>
      </c>
      <c r="AB102" s="5">
        <v>0.0</v>
      </c>
      <c r="AC102" s="5" t="s">
        <v>1510</v>
      </c>
      <c r="AE102" s="5">
        <v>3182.0</v>
      </c>
      <c r="AF102" s="36">
        <v>46112.652580347225</v>
      </c>
    </row>
    <row r="103" ht="22.5" hidden="1" customHeight="1">
      <c r="A103" s="5" t="s">
        <v>1648</v>
      </c>
      <c r="B103" s="5" t="s">
        <v>1506</v>
      </c>
      <c r="C103" s="5" t="s">
        <v>925</v>
      </c>
      <c r="D103" s="5" t="s">
        <v>366</v>
      </c>
      <c r="E103" s="25" t="s">
        <v>926</v>
      </c>
      <c r="F103" s="5" t="s">
        <v>927</v>
      </c>
      <c r="H103" s="35">
        <v>35770.0</v>
      </c>
      <c r="I103" s="5" t="s">
        <v>16</v>
      </c>
      <c r="J103" s="5" t="s">
        <v>46</v>
      </c>
      <c r="K103" s="5" t="b">
        <v>0</v>
      </c>
      <c r="L103" s="5" t="b">
        <v>0</v>
      </c>
      <c r="N103" s="5">
        <v>120.0</v>
      </c>
      <c r="O103" s="5">
        <v>0.0</v>
      </c>
      <c r="P103" s="5">
        <v>0.0</v>
      </c>
      <c r="R103" s="5" t="b">
        <v>0</v>
      </c>
      <c r="U103" s="5" t="s">
        <v>1507</v>
      </c>
      <c r="V103" s="5" t="s">
        <v>1508</v>
      </c>
      <c r="W103" s="5" t="s">
        <v>1508</v>
      </c>
      <c r="X103" s="5" t="s">
        <v>1509</v>
      </c>
      <c r="Z103" s="5">
        <v>90.0</v>
      </c>
      <c r="AA103" s="5" t="s">
        <v>1649</v>
      </c>
      <c r="AB103" s="5">
        <v>30.0</v>
      </c>
      <c r="AC103" s="5" t="s">
        <v>1546</v>
      </c>
      <c r="AD103" s="5" t="s">
        <v>1511</v>
      </c>
      <c r="AE103" s="5">
        <v>1542.0</v>
      </c>
      <c r="AF103" s="36">
        <v>46112.65069515046</v>
      </c>
    </row>
    <row r="104" ht="22.5" customHeight="1">
      <c r="A104" s="5" t="s">
        <v>1650</v>
      </c>
      <c r="B104" s="5" t="s">
        <v>1506</v>
      </c>
      <c r="C104" s="5" t="s">
        <v>190</v>
      </c>
      <c r="D104" s="5" t="s">
        <v>14</v>
      </c>
      <c r="E104" s="5">
        <v>9.843614856E9</v>
      </c>
      <c r="F104" s="5" t="s">
        <v>191</v>
      </c>
      <c r="H104" s="35">
        <v>31288.0</v>
      </c>
      <c r="I104" s="5" t="s">
        <v>156</v>
      </c>
      <c r="J104" s="5" t="s">
        <v>17</v>
      </c>
      <c r="K104" s="5" t="b">
        <v>0</v>
      </c>
      <c r="L104" s="5" t="b">
        <v>0</v>
      </c>
      <c r="N104" s="5">
        <v>1500.0</v>
      </c>
      <c r="O104" s="5">
        <v>0.0</v>
      </c>
      <c r="P104" s="5">
        <v>0.0</v>
      </c>
      <c r="R104" s="5" t="b">
        <v>0</v>
      </c>
      <c r="U104" s="5" t="s">
        <v>1517</v>
      </c>
      <c r="V104" s="5" t="s">
        <v>1508</v>
      </c>
      <c r="W104" s="5" t="s">
        <v>1548</v>
      </c>
      <c r="X104" s="5" t="s">
        <v>1509</v>
      </c>
      <c r="Z104" s="5">
        <v>1125.0</v>
      </c>
      <c r="AA104" s="5" t="s">
        <v>1627</v>
      </c>
      <c r="AB104" s="5">
        <v>375.0</v>
      </c>
      <c r="AC104" s="5" t="s">
        <v>1510</v>
      </c>
      <c r="AE104" s="5">
        <v>4149.0</v>
      </c>
      <c r="AF104" s="36">
        <v>46112.64703175926</v>
      </c>
      <c r="AG104" s="5" t="s">
        <v>1549</v>
      </c>
    </row>
    <row r="105" ht="22.5" customHeight="1">
      <c r="A105" s="5" t="s">
        <v>1651</v>
      </c>
      <c r="B105" s="5" t="s">
        <v>1506</v>
      </c>
      <c r="C105" s="5" t="s">
        <v>1652</v>
      </c>
      <c r="D105" s="5" t="s">
        <v>14</v>
      </c>
      <c r="E105" s="5">
        <v>9.841837188E9</v>
      </c>
      <c r="F105" s="5" t="s">
        <v>193</v>
      </c>
      <c r="H105" s="35">
        <v>33238.0</v>
      </c>
      <c r="I105" s="5" t="s">
        <v>156</v>
      </c>
      <c r="J105" s="5" t="s">
        <v>17</v>
      </c>
      <c r="K105" s="5" t="b">
        <v>0</v>
      </c>
      <c r="L105" s="5" t="b">
        <v>0</v>
      </c>
      <c r="N105" s="5">
        <v>1500.0</v>
      </c>
      <c r="O105" s="5">
        <v>0.0</v>
      </c>
      <c r="P105" s="5">
        <v>0.0</v>
      </c>
      <c r="R105" s="5" t="b">
        <v>0</v>
      </c>
      <c r="U105" s="5" t="s">
        <v>1519</v>
      </c>
      <c r="V105" s="5" t="s">
        <v>1508</v>
      </c>
      <c r="W105" s="5" t="s">
        <v>1508</v>
      </c>
      <c r="X105" s="5" t="s">
        <v>1509</v>
      </c>
      <c r="Z105" s="5">
        <v>1125.0</v>
      </c>
      <c r="AA105" s="5" t="s">
        <v>1627</v>
      </c>
      <c r="AB105" s="5">
        <v>375.0</v>
      </c>
      <c r="AC105" s="5" t="s">
        <v>1510</v>
      </c>
      <c r="AE105" s="5">
        <v>4148.0</v>
      </c>
      <c r="AF105" s="36">
        <v>46112.645330625</v>
      </c>
    </row>
    <row r="106" ht="22.5" hidden="1" customHeight="1">
      <c r="A106" s="5" t="s">
        <v>1653</v>
      </c>
      <c r="B106" s="5" t="s">
        <v>1506</v>
      </c>
      <c r="C106" s="5" t="s">
        <v>568</v>
      </c>
      <c r="D106" s="5" t="s">
        <v>14</v>
      </c>
      <c r="E106" s="25" t="s">
        <v>569</v>
      </c>
      <c r="F106" s="5" t="s">
        <v>570</v>
      </c>
      <c r="H106" s="35">
        <v>32644.0</v>
      </c>
      <c r="I106" s="5" t="s">
        <v>156</v>
      </c>
      <c r="J106" s="5" t="s">
        <v>39</v>
      </c>
      <c r="K106" s="5" t="b">
        <v>0</v>
      </c>
      <c r="L106" s="5" t="b">
        <v>0</v>
      </c>
      <c r="N106" s="5">
        <v>3000.0</v>
      </c>
      <c r="O106" s="5">
        <v>0.0</v>
      </c>
      <c r="P106" s="5">
        <v>0.0</v>
      </c>
      <c r="R106" s="5" t="b">
        <v>0</v>
      </c>
      <c r="U106" s="5" t="s">
        <v>1517</v>
      </c>
      <c r="V106" s="5" t="s">
        <v>1508</v>
      </c>
      <c r="W106" s="5" t="s">
        <v>1548</v>
      </c>
      <c r="X106" s="5" t="s">
        <v>1509</v>
      </c>
      <c r="Z106" s="5">
        <v>3000.0</v>
      </c>
      <c r="AB106" s="5">
        <v>0.0</v>
      </c>
      <c r="AC106" s="5" t="s">
        <v>1510</v>
      </c>
      <c r="AE106" s="5">
        <v>3180.0</v>
      </c>
      <c r="AF106" s="36">
        <v>46112.64456837963</v>
      </c>
      <c r="AG106" s="5" t="s">
        <v>1549</v>
      </c>
    </row>
    <row r="107" ht="22.5" hidden="1" customHeight="1">
      <c r="A107" s="5" t="s">
        <v>1654</v>
      </c>
      <c r="B107" s="5" t="s">
        <v>1506</v>
      </c>
      <c r="C107" s="5" t="s">
        <v>571</v>
      </c>
      <c r="D107" s="5" t="s">
        <v>14</v>
      </c>
      <c r="E107" s="5" t="s">
        <v>572</v>
      </c>
      <c r="F107" s="5" t="s">
        <v>573</v>
      </c>
      <c r="H107" s="35">
        <v>35613.0</v>
      </c>
      <c r="I107" s="5" t="s">
        <v>156</v>
      </c>
      <c r="J107" s="5" t="s">
        <v>39</v>
      </c>
      <c r="K107" s="5" t="b">
        <v>0</v>
      </c>
      <c r="L107" s="5" t="b">
        <v>0</v>
      </c>
      <c r="N107" s="5">
        <v>3000.0</v>
      </c>
      <c r="O107" s="5">
        <v>0.0</v>
      </c>
      <c r="P107" s="5">
        <v>0.0</v>
      </c>
      <c r="R107" s="5" t="b">
        <v>0</v>
      </c>
      <c r="U107" s="5" t="s">
        <v>1517</v>
      </c>
      <c r="V107" s="5" t="s">
        <v>1508</v>
      </c>
      <c r="W107" s="5" t="s">
        <v>1508</v>
      </c>
      <c r="X107" s="5" t="s">
        <v>1509</v>
      </c>
      <c r="Z107" s="5">
        <v>3000.0</v>
      </c>
      <c r="AB107" s="5">
        <v>0.0</v>
      </c>
      <c r="AC107" s="5" t="s">
        <v>1510</v>
      </c>
      <c r="AE107" s="5">
        <v>3179.0</v>
      </c>
      <c r="AF107" s="36">
        <v>46112.64194800926</v>
      </c>
    </row>
    <row r="108" ht="22.5" hidden="1" customHeight="1">
      <c r="A108" s="5" t="s">
        <v>1655</v>
      </c>
      <c r="B108" s="5" t="s">
        <v>1506</v>
      </c>
      <c r="C108" s="5" t="s">
        <v>574</v>
      </c>
      <c r="D108" s="5" t="s">
        <v>14</v>
      </c>
      <c r="E108" s="25" t="s">
        <v>575</v>
      </c>
      <c r="F108" s="5" t="s">
        <v>576</v>
      </c>
      <c r="H108" s="35">
        <v>38852.0</v>
      </c>
      <c r="I108" s="5" t="s">
        <v>156</v>
      </c>
      <c r="J108" s="5" t="s">
        <v>39</v>
      </c>
      <c r="K108" s="5" t="b">
        <v>0</v>
      </c>
      <c r="L108" s="5" t="b">
        <v>0</v>
      </c>
      <c r="N108" s="5">
        <v>3000.0</v>
      </c>
      <c r="O108" s="5">
        <v>0.0</v>
      </c>
      <c r="P108" s="5">
        <v>0.0</v>
      </c>
      <c r="R108" s="5" t="b">
        <v>0</v>
      </c>
      <c r="U108" s="5" t="s">
        <v>1517</v>
      </c>
      <c r="V108" s="5" t="s">
        <v>1508</v>
      </c>
      <c r="W108" s="5" t="s">
        <v>1508</v>
      </c>
      <c r="X108" s="5" t="s">
        <v>1509</v>
      </c>
      <c r="Z108" s="5">
        <v>2250.0</v>
      </c>
      <c r="AA108" s="5" t="s">
        <v>1526</v>
      </c>
      <c r="AB108" s="5">
        <v>750.0</v>
      </c>
      <c r="AC108" s="5" t="s">
        <v>1510</v>
      </c>
      <c r="AE108" s="5">
        <v>3181.0</v>
      </c>
      <c r="AF108" s="36">
        <v>46112.64114043982</v>
      </c>
    </row>
    <row r="109" ht="22.5" customHeight="1">
      <c r="A109" s="5" t="s">
        <v>1656</v>
      </c>
      <c r="B109" s="5" t="s">
        <v>1506</v>
      </c>
      <c r="C109" s="5" t="s">
        <v>194</v>
      </c>
      <c r="D109" s="5" t="s">
        <v>14</v>
      </c>
      <c r="E109" s="5">
        <v>9.861538501E9</v>
      </c>
      <c r="F109" s="5" t="s">
        <v>195</v>
      </c>
      <c r="H109" s="35">
        <v>36070.0</v>
      </c>
      <c r="I109" s="5" t="s">
        <v>156</v>
      </c>
      <c r="J109" s="5" t="s">
        <v>17</v>
      </c>
      <c r="K109" s="5" t="b">
        <v>0</v>
      </c>
      <c r="L109" s="5" t="b">
        <v>0</v>
      </c>
      <c r="N109" s="5">
        <v>1500.0</v>
      </c>
      <c r="O109" s="5">
        <v>0.0</v>
      </c>
      <c r="P109" s="5">
        <v>0.0</v>
      </c>
      <c r="R109" s="5" t="b">
        <v>0</v>
      </c>
      <c r="U109" s="5" t="s">
        <v>1517</v>
      </c>
      <c r="V109" s="5" t="s">
        <v>1508</v>
      </c>
      <c r="W109" s="5" t="s">
        <v>1508</v>
      </c>
      <c r="X109" s="5" t="s">
        <v>1509</v>
      </c>
      <c r="Z109" s="5">
        <v>1125.0</v>
      </c>
      <c r="AA109" s="5" t="s">
        <v>1526</v>
      </c>
      <c r="AB109" s="5">
        <v>375.0</v>
      </c>
      <c r="AC109" s="5" t="s">
        <v>1510</v>
      </c>
      <c r="AE109" s="5">
        <v>4146.0</v>
      </c>
      <c r="AF109" s="36">
        <v>46112.639808078704</v>
      </c>
    </row>
    <row r="110" ht="22.5" customHeight="1">
      <c r="A110" s="5" t="s">
        <v>1657</v>
      </c>
      <c r="B110" s="5" t="s">
        <v>1506</v>
      </c>
      <c r="C110" s="5" t="s">
        <v>196</v>
      </c>
      <c r="D110" s="5" t="s">
        <v>14</v>
      </c>
      <c r="E110" s="5">
        <v>9.841413824E9</v>
      </c>
      <c r="F110" s="5" t="s">
        <v>197</v>
      </c>
      <c r="H110" s="35">
        <v>34706.0</v>
      </c>
      <c r="I110" s="5" t="s">
        <v>156</v>
      </c>
      <c r="J110" s="5" t="s">
        <v>17</v>
      </c>
      <c r="K110" s="5" t="b">
        <v>0</v>
      </c>
      <c r="L110" s="5" t="b">
        <v>0</v>
      </c>
      <c r="N110" s="5">
        <v>1500.0</v>
      </c>
      <c r="O110" s="5">
        <v>0.0</v>
      </c>
      <c r="P110" s="5">
        <v>0.0</v>
      </c>
      <c r="R110" s="5" t="b">
        <v>0</v>
      </c>
      <c r="U110" s="5" t="s">
        <v>1519</v>
      </c>
      <c r="V110" s="5" t="s">
        <v>1508</v>
      </c>
      <c r="W110" s="5" t="s">
        <v>1508</v>
      </c>
      <c r="X110" s="5" t="s">
        <v>1509</v>
      </c>
      <c r="Z110" s="5">
        <v>1125.0</v>
      </c>
      <c r="AA110" s="5" t="s">
        <v>1526</v>
      </c>
      <c r="AB110" s="5">
        <v>375.0</v>
      </c>
      <c r="AC110" s="5" t="s">
        <v>1510</v>
      </c>
      <c r="AE110" s="5">
        <v>4147.0</v>
      </c>
      <c r="AF110" s="36">
        <v>46112.63435611111</v>
      </c>
      <c r="AG110" s="5" t="s">
        <v>1658</v>
      </c>
    </row>
    <row r="111" ht="22.5" hidden="1" customHeight="1">
      <c r="A111" s="5" t="s">
        <v>1659</v>
      </c>
      <c r="B111" s="5" t="s">
        <v>1506</v>
      </c>
      <c r="C111" s="5" t="s">
        <v>577</v>
      </c>
      <c r="D111" s="5" t="s">
        <v>14</v>
      </c>
      <c r="E111" s="5">
        <v>9.851193016E9</v>
      </c>
      <c r="F111" s="5" t="s">
        <v>578</v>
      </c>
      <c r="G111" s="5">
        <v>4807426.0</v>
      </c>
      <c r="H111" s="35">
        <v>32799.0</v>
      </c>
      <c r="I111" s="5" t="s">
        <v>156</v>
      </c>
      <c r="J111" s="5" t="s">
        <v>39</v>
      </c>
      <c r="K111" s="5" t="b">
        <v>0</v>
      </c>
      <c r="L111" s="5" t="b">
        <v>0</v>
      </c>
      <c r="N111" s="5">
        <v>3000.0</v>
      </c>
      <c r="O111" s="5">
        <v>0.0</v>
      </c>
      <c r="P111" s="5">
        <v>0.0</v>
      </c>
      <c r="R111" s="5" t="b">
        <v>0</v>
      </c>
      <c r="U111" s="5" t="s">
        <v>1519</v>
      </c>
      <c r="V111" s="5" t="s">
        <v>1508</v>
      </c>
      <c r="W111" s="5" t="s">
        <v>1508</v>
      </c>
      <c r="X111" s="5" t="s">
        <v>1509</v>
      </c>
      <c r="Z111" s="5">
        <v>3000.0</v>
      </c>
      <c r="AB111" s="5">
        <v>0.0</v>
      </c>
      <c r="AC111" s="5" t="s">
        <v>1510</v>
      </c>
      <c r="AE111" s="5">
        <v>3178.0</v>
      </c>
      <c r="AF111" s="36">
        <v>46112.62865021991</v>
      </c>
    </row>
    <row r="112" ht="22.5" hidden="1" customHeight="1">
      <c r="A112" s="5" t="s">
        <v>1660</v>
      </c>
      <c r="B112" s="5" t="s">
        <v>1506</v>
      </c>
      <c r="C112" s="5" t="s">
        <v>436</v>
      </c>
      <c r="D112" s="5" t="s">
        <v>14</v>
      </c>
      <c r="E112" s="5">
        <v>9.762921244E9</v>
      </c>
      <c r="F112" s="5" t="s">
        <v>437</v>
      </c>
      <c r="H112" s="35">
        <v>36576.0</v>
      </c>
      <c r="I112" s="5" t="s">
        <v>16</v>
      </c>
      <c r="J112" s="5" t="s">
        <v>39</v>
      </c>
      <c r="K112" s="5" t="b">
        <v>0</v>
      </c>
      <c r="L112" s="5" t="b">
        <v>0</v>
      </c>
      <c r="N112" s="5">
        <v>3000.0</v>
      </c>
      <c r="O112" s="5">
        <v>0.0</v>
      </c>
      <c r="P112" s="5">
        <v>0.0</v>
      </c>
      <c r="R112" s="5" t="b">
        <v>0</v>
      </c>
      <c r="U112" s="5" t="s">
        <v>1507</v>
      </c>
      <c r="V112" s="5" t="s">
        <v>1508</v>
      </c>
      <c r="W112" s="5" t="s">
        <v>1508</v>
      </c>
      <c r="X112" s="5" t="s">
        <v>1509</v>
      </c>
      <c r="Z112" s="5">
        <v>3000.0</v>
      </c>
      <c r="AB112" s="5">
        <v>0.0</v>
      </c>
      <c r="AC112" s="5" t="s">
        <v>1510</v>
      </c>
      <c r="AE112" s="5">
        <v>3177.0</v>
      </c>
      <c r="AF112" s="36">
        <v>46112.6272746875</v>
      </c>
    </row>
    <row r="113" ht="22.5" hidden="1" customHeight="1">
      <c r="A113" s="5" t="s">
        <v>1661</v>
      </c>
      <c r="B113" s="5" t="s">
        <v>1506</v>
      </c>
      <c r="C113" s="5" t="s">
        <v>579</v>
      </c>
      <c r="D113" s="5" t="s">
        <v>14</v>
      </c>
      <c r="E113" s="25" t="s">
        <v>580</v>
      </c>
      <c r="F113" s="5" t="s">
        <v>581</v>
      </c>
      <c r="H113" s="35">
        <v>32674.0</v>
      </c>
      <c r="I113" s="5" t="s">
        <v>156</v>
      </c>
      <c r="J113" s="5" t="s">
        <v>39</v>
      </c>
      <c r="K113" s="5" t="b">
        <v>0</v>
      </c>
      <c r="L113" s="5" t="b">
        <v>0</v>
      </c>
      <c r="N113" s="5">
        <v>3000.0</v>
      </c>
      <c r="O113" s="5">
        <v>0.0</v>
      </c>
      <c r="P113" s="5">
        <v>0.0</v>
      </c>
      <c r="R113" s="5" t="b">
        <v>0</v>
      </c>
      <c r="U113" s="5" t="s">
        <v>1519</v>
      </c>
      <c r="V113" s="5" t="s">
        <v>1508</v>
      </c>
      <c r="W113" s="5" t="s">
        <v>1548</v>
      </c>
      <c r="X113" s="5" t="s">
        <v>1509</v>
      </c>
      <c r="Z113" s="5">
        <v>3000.0</v>
      </c>
      <c r="AB113" s="5">
        <v>0.0</v>
      </c>
      <c r="AC113" s="5" t="s">
        <v>1510</v>
      </c>
      <c r="AE113" s="5">
        <v>3176.0</v>
      </c>
      <c r="AF113" s="36">
        <v>46112.61455233796</v>
      </c>
      <c r="AG113" s="5" t="s">
        <v>1549</v>
      </c>
    </row>
    <row r="114" ht="22.5" hidden="1" customHeight="1">
      <c r="A114" s="5" t="s">
        <v>1662</v>
      </c>
      <c r="B114" s="5" t="s">
        <v>1506</v>
      </c>
      <c r="C114" s="5" t="s">
        <v>1383</v>
      </c>
      <c r="D114" s="5" t="s">
        <v>14</v>
      </c>
      <c r="E114" s="5">
        <v>9.84830049E9</v>
      </c>
      <c r="F114" s="5" t="s">
        <v>560</v>
      </c>
      <c r="H114" s="35">
        <v>34000.0</v>
      </c>
      <c r="I114" s="5" t="s">
        <v>156</v>
      </c>
      <c r="J114" s="5" t="s">
        <v>46</v>
      </c>
      <c r="K114" s="5" t="b">
        <v>0</v>
      </c>
      <c r="L114" s="5" t="b">
        <v>0</v>
      </c>
      <c r="N114" s="5">
        <v>9000.0</v>
      </c>
      <c r="O114" s="5">
        <v>0.0</v>
      </c>
      <c r="P114" s="5">
        <v>0.0</v>
      </c>
      <c r="R114" s="5" t="b">
        <v>0</v>
      </c>
      <c r="U114" s="5" t="s">
        <v>1514</v>
      </c>
      <c r="V114" s="5" t="s">
        <v>1508</v>
      </c>
      <c r="W114" s="5" t="s">
        <v>1508</v>
      </c>
      <c r="X114" s="5" t="s">
        <v>1509</v>
      </c>
      <c r="Z114" s="5">
        <v>0.0</v>
      </c>
      <c r="AA114" s="5" t="s">
        <v>779</v>
      </c>
      <c r="AB114" s="5">
        <v>9000.0</v>
      </c>
      <c r="AC114" s="5" t="s">
        <v>1510</v>
      </c>
      <c r="AD114" s="5" t="s">
        <v>1511</v>
      </c>
      <c r="AE114" s="5">
        <v>1537.0</v>
      </c>
      <c r="AF114" s="36">
        <v>46112.59180423611</v>
      </c>
    </row>
    <row r="115" ht="22.5" hidden="1" customHeight="1">
      <c r="A115" s="5" t="s">
        <v>1663</v>
      </c>
      <c r="B115" s="5" t="s">
        <v>1506</v>
      </c>
      <c r="C115" s="5" t="s">
        <v>970</v>
      </c>
      <c r="D115" s="5" t="s">
        <v>14</v>
      </c>
      <c r="E115" s="5">
        <v>9.745643812E9</v>
      </c>
      <c r="F115" s="5" t="s">
        <v>560</v>
      </c>
      <c r="H115" s="35">
        <v>37542.0</v>
      </c>
      <c r="I115" s="5" t="s">
        <v>156</v>
      </c>
      <c r="J115" s="5" t="s">
        <v>42</v>
      </c>
      <c r="K115" s="5" t="b">
        <v>0</v>
      </c>
      <c r="L115" s="5" t="b">
        <v>0</v>
      </c>
      <c r="N115" s="5">
        <v>7500.0</v>
      </c>
      <c r="O115" s="5">
        <v>0.0</v>
      </c>
      <c r="P115" s="5">
        <v>0.0</v>
      </c>
      <c r="R115" s="5" t="b">
        <v>0</v>
      </c>
      <c r="U115" s="5" t="s">
        <v>1517</v>
      </c>
      <c r="V115" s="5" t="s">
        <v>1508</v>
      </c>
      <c r="W115" s="5" t="s">
        <v>1508</v>
      </c>
      <c r="X115" s="5" t="s">
        <v>1509</v>
      </c>
      <c r="Z115" s="5">
        <v>0.0</v>
      </c>
      <c r="AA115" s="5" t="s">
        <v>779</v>
      </c>
      <c r="AB115" s="5">
        <v>7500.0</v>
      </c>
      <c r="AC115" s="5" t="s">
        <v>1510</v>
      </c>
      <c r="AD115" s="5" t="s">
        <v>1511</v>
      </c>
      <c r="AE115" s="5">
        <v>2116.0</v>
      </c>
      <c r="AF115" s="36">
        <v>46112.58513489583</v>
      </c>
    </row>
    <row r="116" ht="22.5" hidden="1" customHeight="1">
      <c r="A116" s="5" t="s">
        <v>1664</v>
      </c>
      <c r="B116" s="5" t="s">
        <v>1506</v>
      </c>
      <c r="C116" s="5" t="s">
        <v>971</v>
      </c>
      <c r="D116" s="5" t="s">
        <v>14</v>
      </c>
      <c r="E116" s="5">
        <v>9.84830049E9</v>
      </c>
      <c r="F116" s="5" t="s">
        <v>560</v>
      </c>
      <c r="H116" s="35">
        <v>39332.0</v>
      </c>
      <c r="I116" s="5" t="s">
        <v>156</v>
      </c>
      <c r="J116" s="5" t="s">
        <v>42</v>
      </c>
      <c r="K116" s="5" t="b">
        <v>0</v>
      </c>
      <c r="L116" s="5" t="b">
        <v>0</v>
      </c>
      <c r="N116" s="5">
        <v>7500.0</v>
      </c>
      <c r="O116" s="5">
        <v>0.0</v>
      </c>
      <c r="P116" s="5">
        <v>0.0</v>
      </c>
      <c r="R116" s="5" t="b">
        <v>0</v>
      </c>
      <c r="U116" s="5" t="s">
        <v>1519</v>
      </c>
      <c r="V116" s="5" t="s">
        <v>1508</v>
      </c>
      <c r="W116" s="5" t="s">
        <v>1508</v>
      </c>
      <c r="X116" s="5" t="s">
        <v>1509</v>
      </c>
      <c r="Z116" s="5">
        <v>0.0</v>
      </c>
      <c r="AA116" s="5" t="s">
        <v>779</v>
      </c>
      <c r="AB116" s="5">
        <v>7500.0</v>
      </c>
      <c r="AC116" s="5" t="s">
        <v>1510</v>
      </c>
      <c r="AD116" s="5" t="s">
        <v>1511</v>
      </c>
      <c r="AE116" s="5">
        <v>2117.0</v>
      </c>
      <c r="AF116" s="36">
        <v>46112.58257607639</v>
      </c>
    </row>
    <row r="117" ht="22.5" hidden="1" customHeight="1">
      <c r="A117" s="5" t="s">
        <v>1665</v>
      </c>
      <c r="B117" s="5" t="s">
        <v>1506</v>
      </c>
      <c r="C117" s="5" t="s">
        <v>1666</v>
      </c>
      <c r="D117" s="5" t="s">
        <v>14</v>
      </c>
      <c r="E117" s="5">
        <v>9.84215618E9</v>
      </c>
      <c r="F117" s="5" t="s">
        <v>560</v>
      </c>
      <c r="H117" s="35">
        <v>36266.0</v>
      </c>
      <c r="I117" s="5" t="s">
        <v>156</v>
      </c>
      <c r="J117" s="5" t="s">
        <v>42</v>
      </c>
      <c r="K117" s="5" t="b">
        <v>0</v>
      </c>
      <c r="L117" s="5" t="b">
        <v>0</v>
      </c>
      <c r="N117" s="5">
        <v>7500.0</v>
      </c>
      <c r="O117" s="5">
        <v>0.0</v>
      </c>
      <c r="P117" s="5">
        <v>0.0</v>
      </c>
      <c r="R117" s="5" t="b">
        <v>0</v>
      </c>
      <c r="U117" s="5" t="s">
        <v>1514</v>
      </c>
      <c r="V117" s="5" t="s">
        <v>1508</v>
      </c>
      <c r="W117" s="5" t="s">
        <v>1508</v>
      </c>
      <c r="X117" s="5" t="s">
        <v>1509</v>
      </c>
      <c r="Z117" s="5">
        <v>0.0</v>
      </c>
      <c r="AA117" s="5" t="s">
        <v>779</v>
      </c>
      <c r="AB117" s="5">
        <v>7500.0</v>
      </c>
      <c r="AC117" s="5" t="s">
        <v>1510</v>
      </c>
      <c r="AD117" s="5" t="s">
        <v>1511</v>
      </c>
      <c r="AE117" s="5">
        <v>2118.0</v>
      </c>
      <c r="AF117" s="36">
        <v>46112.58015837963</v>
      </c>
    </row>
    <row r="118" ht="22.5" hidden="1" customHeight="1">
      <c r="A118" s="5" t="s">
        <v>1667</v>
      </c>
      <c r="B118" s="5" t="s">
        <v>1506</v>
      </c>
      <c r="C118" s="5" t="s">
        <v>1233</v>
      </c>
      <c r="D118" s="5" t="s">
        <v>14</v>
      </c>
      <c r="E118" s="25" t="s">
        <v>1234</v>
      </c>
      <c r="F118" s="5" t="s">
        <v>865</v>
      </c>
      <c r="H118" s="35">
        <v>29134.0</v>
      </c>
      <c r="I118" s="5" t="s">
        <v>156</v>
      </c>
      <c r="J118" s="5" t="s">
        <v>36</v>
      </c>
      <c r="K118" s="5" t="b">
        <v>0</v>
      </c>
      <c r="L118" s="5" t="b">
        <v>0</v>
      </c>
      <c r="N118" s="5">
        <v>12000.0</v>
      </c>
      <c r="O118" s="5">
        <v>0.0</v>
      </c>
      <c r="P118" s="5">
        <v>0.0</v>
      </c>
      <c r="R118" s="5" t="b">
        <v>0</v>
      </c>
      <c r="U118" s="5" t="s">
        <v>1517</v>
      </c>
      <c r="V118" s="5" t="s">
        <v>1508</v>
      </c>
      <c r="W118" s="5" t="s">
        <v>1508</v>
      </c>
      <c r="X118" s="5" t="s">
        <v>1509</v>
      </c>
      <c r="Z118" s="5">
        <v>0.0</v>
      </c>
      <c r="AA118" s="5" t="s">
        <v>779</v>
      </c>
      <c r="AB118" s="5">
        <v>12000.0</v>
      </c>
      <c r="AC118" s="5" t="s">
        <v>1510</v>
      </c>
      <c r="AD118" s="5" t="s">
        <v>1511</v>
      </c>
      <c r="AE118" s="5">
        <v>1070.0</v>
      </c>
      <c r="AF118" s="36">
        <v>46112.57502914352</v>
      </c>
    </row>
    <row r="119" ht="22.5" hidden="1" customHeight="1">
      <c r="A119" s="5" t="s">
        <v>1668</v>
      </c>
      <c r="B119" s="5" t="s">
        <v>1506</v>
      </c>
      <c r="C119" s="5" t="s">
        <v>582</v>
      </c>
      <c r="D119" s="5" t="s">
        <v>14</v>
      </c>
      <c r="E119" s="25" t="s">
        <v>583</v>
      </c>
      <c r="F119" s="5" t="s">
        <v>584</v>
      </c>
      <c r="H119" s="35">
        <v>38000.0</v>
      </c>
      <c r="I119" s="5" t="s">
        <v>156</v>
      </c>
      <c r="J119" s="5" t="s">
        <v>39</v>
      </c>
      <c r="K119" s="5" t="b">
        <v>0</v>
      </c>
      <c r="L119" s="5" t="b">
        <v>0</v>
      </c>
      <c r="N119" s="5">
        <v>3000.0</v>
      </c>
      <c r="O119" s="5">
        <v>0.0</v>
      </c>
      <c r="P119" s="5">
        <v>0.0</v>
      </c>
      <c r="R119" s="5" t="b">
        <v>0</v>
      </c>
      <c r="U119" s="5" t="s">
        <v>1514</v>
      </c>
      <c r="V119" s="5" t="s">
        <v>1508</v>
      </c>
      <c r="W119" s="5" t="s">
        <v>1508</v>
      </c>
      <c r="X119" s="5" t="s">
        <v>1509</v>
      </c>
      <c r="Z119" s="5">
        <v>2250.0</v>
      </c>
      <c r="AA119" s="5" t="s">
        <v>1526</v>
      </c>
      <c r="AB119" s="5">
        <v>750.0</v>
      </c>
      <c r="AC119" s="5" t="s">
        <v>1510</v>
      </c>
      <c r="AE119" s="5">
        <v>3175.0</v>
      </c>
      <c r="AF119" s="36">
        <v>46112.55954423611</v>
      </c>
    </row>
    <row r="120" ht="22.5" hidden="1" customHeight="1">
      <c r="A120" s="5" t="s">
        <v>1669</v>
      </c>
      <c r="B120" s="5" t="s">
        <v>1506</v>
      </c>
      <c r="C120" s="5" t="s">
        <v>585</v>
      </c>
      <c r="D120" s="5" t="s">
        <v>14</v>
      </c>
      <c r="E120" s="5">
        <v>9.813256819E9</v>
      </c>
      <c r="F120" s="5" t="s">
        <v>586</v>
      </c>
      <c r="H120" s="35">
        <v>35359.0</v>
      </c>
      <c r="I120" s="5" t="s">
        <v>156</v>
      </c>
      <c r="J120" s="5" t="s">
        <v>39</v>
      </c>
      <c r="K120" s="5" t="b">
        <v>0</v>
      </c>
      <c r="L120" s="5" t="b">
        <v>0</v>
      </c>
      <c r="N120" s="5">
        <v>3000.0</v>
      </c>
      <c r="O120" s="5">
        <v>0.0</v>
      </c>
      <c r="P120" s="5">
        <v>0.0</v>
      </c>
      <c r="R120" s="5" t="b">
        <v>0</v>
      </c>
      <c r="U120" s="5" t="s">
        <v>1517</v>
      </c>
      <c r="V120" s="5" t="s">
        <v>1508</v>
      </c>
      <c r="W120" s="5" t="s">
        <v>1508</v>
      </c>
      <c r="X120" s="5" t="s">
        <v>1509</v>
      </c>
      <c r="Z120" s="5">
        <v>2250.0</v>
      </c>
      <c r="AA120" s="5" t="s">
        <v>1526</v>
      </c>
      <c r="AB120" s="5">
        <v>750.0</v>
      </c>
      <c r="AC120" s="5" t="s">
        <v>1510</v>
      </c>
      <c r="AE120" s="5">
        <v>3174.0</v>
      </c>
      <c r="AF120" s="36">
        <v>46112.5589346412</v>
      </c>
    </row>
    <row r="121" ht="22.5" hidden="1" customHeight="1">
      <c r="A121" s="5" t="s">
        <v>1670</v>
      </c>
      <c r="B121" s="5" t="s">
        <v>1506</v>
      </c>
      <c r="C121" s="5" t="s">
        <v>498</v>
      </c>
      <c r="D121" s="5" t="s">
        <v>499</v>
      </c>
      <c r="E121" s="5">
        <v>9.81065007E9</v>
      </c>
      <c r="F121" s="5" t="s">
        <v>500</v>
      </c>
      <c r="H121" s="35">
        <v>34786.0</v>
      </c>
      <c r="I121" s="5" t="s">
        <v>16</v>
      </c>
      <c r="J121" s="5" t="s">
        <v>39</v>
      </c>
      <c r="K121" s="5" t="b">
        <v>0</v>
      </c>
      <c r="L121" s="5" t="b">
        <v>0</v>
      </c>
      <c r="N121" s="5">
        <v>3000.0</v>
      </c>
      <c r="O121" s="5">
        <v>0.0</v>
      </c>
      <c r="P121" s="5">
        <v>0.0</v>
      </c>
      <c r="R121" s="5" t="b">
        <v>0</v>
      </c>
      <c r="U121" s="5" t="s">
        <v>1517</v>
      </c>
      <c r="V121" s="5" t="s">
        <v>1508</v>
      </c>
      <c r="W121" s="5" t="s">
        <v>1508</v>
      </c>
      <c r="X121" s="5" t="s">
        <v>1509</v>
      </c>
      <c r="Z121" s="5">
        <v>3000.0</v>
      </c>
      <c r="AB121" s="5">
        <v>0.0</v>
      </c>
      <c r="AC121" s="5" t="s">
        <v>1510</v>
      </c>
      <c r="AE121" s="5">
        <v>3173.0</v>
      </c>
      <c r="AF121" s="36">
        <v>46112.55052101852</v>
      </c>
    </row>
    <row r="122" ht="22.5" hidden="1" customHeight="1">
      <c r="A122" s="5" t="s">
        <v>1671</v>
      </c>
      <c r="B122" s="5" t="s">
        <v>1506</v>
      </c>
      <c r="C122" s="5" t="s">
        <v>973</v>
      </c>
      <c r="D122" s="5" t="s">
        <v>14</v>
      </c>
      <c r="E122" s="5">
        <v>9.868636682E9</v>
      </c>
      <c r="F122" s="5" t="s">
        <v>974</v>
      </c>
      <c r="H122" s="35">
        <v>36934.0</v>
      </c>
      <c r="I122" s="5" t="s">
        <v>156</v>
      </c>
      <c r="J122" s="5" t="s">
        <v>42</v>
      </c>
      <c r="K122" s="5" t="b">
        <v>0</v>
      </c>
      <c r="L122" s="5" t="b">
        <v>0</v>
      </c>
      <c r="N122" s="5">
        <v>7500.0</v>
      </c>
      <c r="O122" s="5">
        <v>0.0</v>
      </c>
      <c r="P122" s="5">
        <v>0.0</v>
      </c>
      <c r="R122" s="5" t="b">
        <v>0</v>
      </c>
      <c r="U122" s="5" t="s">
        <v>1507</v>
      </c>
      <c r="V122" s="5" t="s">
        <v>1508</v>
      </c>
      <c r="W122" s="5" t="s">
        <v>1508</v>
      </c>
      <c r="X122" s="5" t="s">
        <v>1509</v>
      </c>
      <c r="Z122" s="5">
        <v>5625.0</v>
      </c>
      <c r="AA122" s="5" t="s">
        <v>699</v>
      </c>
      <c r="AB122" s="5">
        <v>1875.0</v>
      </c>
      <c r="AC122" s="5" t="s">
        <v>1510</v>
      </c>
      <c r="AE122" s="5">
        <v>2115.0</v>
      </c>
      <c r="AF122" s="36">
        <v>46112.54851184028</v>
      </c>
    </row>
    <row r="123" ht="22.5" hidden="1" customHeight="1">
      <c r="A123" s="5" t="s">
        <v>1672</v>
      </c>
      <c r="B123" s="5" t="s">
        <v>1506</v>
      </c>
      <c r="C123" s="5" t="s">
        <v>587</v>
      </c>
      <c r="D123" s="5" t="s">
        <v>14</v>
      </c>
      <c r="E123" s="5">
        <v>9.828064989E9</v>
      </c>
      <c r="F123" s="5" t="s">
        <v>588</v>
      </c>
      <c r="H123" s="35">
        <v>37094.0</v>
      </c>
      <c r="I123" s="5" t="s">
        <v>156</v>
      </c>
      <c r="J123" s="5" t="s">
        <v>39</v>
      </c>
      <c r="K123" s="5" t="b">
        <v>0</v>
      </c>
      <c r="L123" s="5" t="b">
        <v>0</v>
      </c>
      <c r="N123" s="5">
        <v>3000.0</v>
      </c>
      <c r="O123" s="5">
        <v>0.0</v>
      </c>
      <c r="P123" s="5">
        <v>0.0</v>
      </c>
      <c r="R123" s="5" t="b">
        <v>0</v>
      </c>
      <c r="U123" s="5" t="s">
        <v>1517</v>
      </c>
      <c r="V123" s="5" t="s">
        <v>1508</v>
      </c>
      <c r="W123" s="5" t="s">
        <v>1508</v>
      </c>
      <c r="X123" s="5" t="s">
        <v>1509</v>
      </c>
      <c r="Z123" s="5">
        <v>2250.0</v>
      </c>
      <c r="AA123" s="5" t="s">
        <v>1526</v>
      </c>
      <c r="AB123" s="5">
        <v>750.0</v>
      </c>
      <c r="AC123" s="5" t="s">
        <v>1510</v>
      </c>
      <c r="AE123" s="5">
        <v>3172.0</v>
      </c>
      <c r="AF123" s="36">
        <v>46112.53099371528</v>
      </c>
    </row>
    <row r="124" ht="22.5" hidden="1" customHeight="1">
      <c r="A124" s="5" t="s">
        <v>1673</v>
      </c>
      <c r="B124" s="5" t="s">
        <v>1506</v>
      </c>
      <c r="C124" s="5" t="s">
        <v>589</v>
      </c>
      <c r="D124" s="5" t="s">
        <v>14</v>
      </c>
      <c r="E124" s="25" t="s">
        <v>590</v>
      </c>
      <c r="F124" s="5" t="s">
        <v>591</v>
      </c>
      <c r="H124" s="35">
        <v>36049.0</v>
      </c>
      <c r="I124" s="5" t="s">
        <v>156</v>
      </c>
      <c r="J124" s="5" t="s">
        <v>39</v>
      </c>
      <c r="K124" s="5" t="b">
        <v>0</v>
      </c>
      <c r="L124" s="5" t="b">
        <v>0</v>
      </c>
      <c r="N124" s="5">
        <v>3000.0</v>
      </c>
      <c r="O124" s="5">
        <v>0.0</v>
      </c>
      <c r="P124" s="5">
        <v>0.0</v>
      </c>
      <c r="R124" s="5" t="b">
        <v>0</v>
      </c>
      <c r="U124" s="5" t="s">
        <v>1580</v>
      </c>
      <c r="V124" s="5" t="s">
        <v>1508</v>
      </c>
      <c r="W124" s="5" t="s">
        <v>1508</v>
      </c>
      <c r="X124" s="5" t="s">
        <v>1509</v>
      </c>
      <c r="Z124" s="5">
        <v>3000.0</v>
      </c>
      <c r="AB124" s="5">
        <v>0.0</v>
      </c>
      <c r="AC124" s="5" t="s">
        <v>1510</v>
      </c>
      <c r="AE124" s="5">
        <v>3171.0</v>
      </c>
      <c r="AF124" s="36">
        <v>46112.530976979164</v>
      </c>
    </row>
    <row r="125" ht="22.5" customHeight="1">
      <c r="A125" s="5" t="s">
        <v>1674</v>
      </c>
      <c r="B125" s="5" t="s">
        <v>1506</v>
      </c>
      <c r="C125" s="5" t="s">
        <v>31</v>
      </c>
      <c r="D125" s="5" t="s">
        <v>14</v>
      </c>
      <c r="E125" s="5">
        <v>9.810109339E9</v>
      </c>
      <c r="F125" s="5" t="s">
        <v>32</v>
      </c>
      <c r="H125" s="35">
        <v>36339.0</v>
      </c>
      <c r="I125" s="5" t="s">
        <v>16</v>
      </c>
      <c r="J125" s="5" t="s">
        <v>17</v>
      </c>
      <c r="K125" s="5" t="b">
        <v>0</v>
      </c>
      <c r="L125" s="5" t="b">
        <v>0</v>
      </c>
      <c r="N125" s="5">
        <v>1500.0</v>
      </c>
      <c r="O125" s="5">
        <v>0.0</v>
      </c>
      <c r="P125" s="5">
        <v>0.0</v>
      </c>
      <c r="R125" s="5" t="b">
        <v>0</v>
      </c>
      <c r="U125" s="5" t="s">
        <v>1519</v>
      </c>
      <c r="V125" s="5" t="s">
        <v>1508</v>
      </c>
      <c r="W125" s="5" t="s">
        <v>1508</v>
      </c>
      <c r="X125" s="5" t="s">
        <v>1509</v>
      </c>
      <c r="Z125" s="5">
        <v>1125.0</v>
      </c>
      <c r="AA125" s="5" t="s">
        <v>1526</v>
      </c>
      <c r="AB125" s="5">
        <v>375.0</v>
      </c>
      <c r="AC125" s="5" t="s">
        <v>1510</v>
      </c>
      <c r="AE125" s="5">
        <v>4145.0</v>
      </c>
      <c r="AF125" s="36">
        <v>46112.526324108796</v>
      </c>
    </row>
    <row r="126" ht="22.5" hidden="1" customHeight="1">
      <c r="A126" s="5" t="s">
        <v>1675</v>
      </c>
      <c r="B126" s="5" t="s">
        <v>1506</v>
      </c>
      <c r="C126" s="5" t="s">
        <v>1676</v>
      </c>
      <c r="D126" s="5" t="s">
        <v>904</v>
      </c>
      <c r="E126" s="25" t="s">
        <v>1299</v>
      </c>
      <c r="F126" s="5" t="s">
        <v>1300</v>
      </c>
      <c r="H126" s="35">
        <v>35862.0</v>
      </c>
      <c r="I126" s="5" t="s">
        <v>156</v>
      </c>
      <c r="J126" s="5" t="s">
        <v>36</v>
      </c>
      <c r="K126" s="5" t="b">
        <v>0</v>
      </c>
      <c r="L126" s="5" t="b">
        <v>0</v>
      </c>
      <c r="N126" s="5">
        <v>150.0</v>
      </c>
      <c r="O126" s="5">
        <v>0.0</v>
      </c>
      <c r="P126" s="5">
        <v>0.0</v>
      </c>
      <c r="R126" s="5" t="b">
        <v>0</v>
      </c>
      <c r="U126" s="5" t="s">
        <v>1519</v>
      </c>
      <c r="V126" s="5" t="s">
        <v>1508</v>
      </c>
      <c r="W126" s="5" t="s">
        <v>1508</v>
      </c>
      <c r="X126" s="5" t="s">
        <v>1509</v>
      </c>
      <c r="Z126" s="5">
        <v>150.0</v>
      </c>
      <c r="AB126" s="5">
        <v>0.0</v>
      </c>
      <c r="AC126" s="5" t="s">
        <v>1546</v>
      </c>
      <c r="AD126" s="5" t="s">
        <v>1511</v>
      </c>
      <c r="AE126" s="5">
        <v>1078.0</v>
      </c>
      <c r="AF126" s="36">
        <v>46112.50250050926</v>
      </c>
    </row>
    <row r="127" ht="22.5" hidden="1" customHeight="1">
      <c r="A127" s="5" t="s">
        <v>1677</v>
      </c>
      <c r="B127" s="5" t="s">
        <v>1506</v>
      </c>
      <c r="C127" s="5" t="s">
        <v>592</v>
      </c>
      <c r="D127" s="5" t="s">
        <v>14</v>
      </c>
      <c r="E127" s="5">
        <v>9.705427543E9</v>
      </c>
      <c r="F127" s="5" t="s">
        <v>593</v>
      </c>
      <c r="H127" s="35">
        <v>36199.0</v>
      </c>
      <c r="I127" s="5" t="s">
        <v>156</v>
      </c>
      <c r="J127" s="5" t="s">
        <v>39</v>
      </c>
      <c r="K127" s="5" t="b">
        <v>0</v>
      </c>
      <c r="L127" s="5" t="b">
        <v>0</v>
      </c>
      <c r="N127" s="5">
        <v>3000.0</v>
      </c>
      <c r="O127" s="5">
        <v>0.0</v>
      </c>
      <c r="P127" s="5">
        <v>0.0</v>
      </c>
      <c r="R127" s="5" t="b">
        <v>0</v>
      </c>
      <c r="U127" s="5" t="s">
        <v>1517</v>
      </c>
      <c r="V127" s="5" t="s">
        <v>1508</v>
      </c>
      <c r="W127" s="5" t="s">
        <v>1508</v>
      </c>
      <c r="X127" s="5" t="s">
        <v>1509</v>
      </c>
      <c r="Z127" s="5">
        <v>2250.0</v>
      </c>
      <c r="AA127" s="5" t="s">
        <v>1526</v>
      </c>
      <c r="AB127" s="5">
        <v>750.0</v>
      </c>
      <c r="AC127" s="5" t="s">
        <v>1510</v>
      </c>
      <c r="AE127" s="5">
        <v>3170.0</v>
      </c>
      <c r="AF127" s="36">
        <v>46112.49543643519</v>
      </c>
    </row>
    <row r="128" ht="22.5" customHeight="1">
      <c r="A128" s="5" t="s">
        <v>1678</v>
      </c>
      <c r="B128" s="5" t="s">
        <v>1506</v>
      </c>
      <c r="C128" s="5" t="s">
        <v>198</v>
      </c>
      <c r="D128" s="5" t="s">
        <v>14</v>
      </c>
      <c r="E128" s="5">
        <v>9.84024382E9</v>
      </c>
      <c r="F128" s="5" t="s">
        <v>199</v>
      </c>
      <c r="H128" s="35">
        <v>34617.0</v>
      </c>
      <c r="I128" s="5" t="s">
        <v>156</v>
      </c>
      <c r="J128" s="5" t="s">
        <v>17</v>
      </c>
      <c r="K128" s="5" t="b">
        <v>0</v>
      </c>
      <c r="L128" s="5" t="b">
        <v>0</v>
      </c>
      <c r="N128" s="5">
        <v>1500.0</v>
      </c>
      <c r="O128" s="5">
        <v>0.0</v>
      </c>
      <c r="P128" s="5">
        <v>0.0</v>
      </c>
      <c r="R128" s="5" t="b">
        <v>0</v>
      </c>
      <c r="U128" s="5" t="s">
        <v>1517</v>
      </c>
      <c r="V128" s="5" t="s">
        <v>1508</v>
      </c>
      <c r="W128" s="5" t="s">
        <v>1508</v>
      </c>
      <c r="X128" s="5" t="s">
        <v>1509</v>
      </c>
      <c r="Z128" s="5">
        <v>1500.0</v>
      </c>
      <c r="AB128" s="5">
        <v>0.0</v>
      </c>
      <c r="AC128" s="5" t="s">
        <v>1510</v>
      </c>
      <c r="AE128" s="5">
        <v>4144.0</v>
      </c>
      <c r="AF128" s="36">
        <v>46112.49274625</v>
      </c>
    </row>
    <row r="129" ht="22.5" hidden="1" customHeight="1">
      <c r="A129" s="5" t="s">
        <v>1679</v>
      </c>
      <c r="B129" s="5" t="s">
        <v>1506</v>
      </c>
      <c r="C129" s="5" t="s">
        <v>594</v>
      </c>
      <c r="D129" s="5" t="s">
        <v>14</v>
      </c>
      <c r="E129" s="5">
        <v>9.82278432E9</v>
      </c>
      <c r="F129" s="5" t="s">
        <v>595</v>
      </c>
      <c r="H129" s="35">
        <v>33501.0</v>
      </c>
      <c r="I129" s="5" t="s">
        <v>156</v>
      </c>
      <c r="J129" s="5" t="s">
        <v>39</v>
      </c>
      <c r="K129" s="5" t="b">
        <v>0</v>
      </c>
      <c r="L129" s="5" t="b">
        <v>0</v>
      </c>
      <c r="N129" s="5">
        <v>3000.0</v>
      </c>
      <c r="O129" s="5">
        <v>0.0</v>
      </c>
      <c r="P129" s="5">
        <v>0.0</v>
      </c>
      <c r="R129" s="5" t="b">
        <v>0</v>
      </c>
      <c r="U129" s="5" t="s">
        <v>1514</v>
      </c>
      <c r="V129" s="5" t="s">
        <v>1508</v>
      </c>
      <c r="W129" s="5" t="s">
        <v>1508</v>
      </c>
      <c r="X129" s="5" t="s">
        <v>1509</v>
      </c>
      <c r="Z129" s="5">
        <v>3000.0</v>
      </c>
      <c r="AB129" s="5">
        <v>0.0</v>
      </c>
      <c r="AC129" s="5" t="s">
        <v>1510</v>
      </c>
      <c r="AE129" s="5">
        <v>3167.0</v>
      </c>
      <c r="AF129" s="36">
        <v>46112.48155486111</v>
      </c>
    </row>
    <row r="130" ht="22.5" hidden="1" customHeight="1">
      <c r="A130" s="5" t="s">
        <v>1680</v>
      </c>
      <c r="B130" s="5" t="s">
        <v>1506</v>
      </c>
      <c r="C130" s="5" t="s">
        <v>840</v>
      </c>
      <c r="D130" s="5" t="s">
        <v>134</v>
      </c>
      <c r="E130" s="25" t="s">
        <v>841</v>
      </c>
      <c r="F130" s="5" t="s">
        <v>842</v>
      </c>
      <c r="G130" s="5">
        <v>4370332.0</v>
      </c>
      <c r="H130" s="35">
        <v>36553.0</v>
      </c>
      <c r="I130" s="5" t="s">
        <v>156</v>
      </c>
      <c r="J130" s="5" t="s">
        <v>39</v>
      </c>
      <c r="K130" s="5" t="b">
        <v>0</v>
      </c>
      <c r="L130" s="5" t="b">
        <v>0</v>
      </c>
      <c r="N130" s="5">
        <v>25.0</v>
      </c>
      <c r="O130" s="5">
        <v>0.0</v>
      </c>
      <c r="P130" s="5">
        <v>0.0</v>
      </c>
      <c r="R130" s="5" t="b">
        <v>0</v>
      </c>
      <c r="U130" s="5" t="s">
        <v>1519</v>
      </c>
      <c r="V130" s="5" t="s">
        <v>1508</v>
      </c>
      <c r="W130" s="5" t="s">
        <v>1508</v>
      </c>
      <c r="X130" s="5" t="s">
        <v>1509</v>
      </c>
      <c r="Z130" s="5">
        <v>25.0</v>
      </c>
      <c r="AB130" s="5">
        <v>0.0</v>
      </c>
      <c r="AC130" s="5" t="s">
        <v>1546</v>
      </c>
      <c r="AD130" s="5" t="s">
        <v>1511</v>
      </c>
      <c r="AE130" s="5">
        <v>3185.0</v>
      </c>
      <c r="AF130" s="36">
        <v>46112.4814708912</v>
      </c>
    </row>
    <row r="131" ht="22.5" customHeight="1">
      <c r="A131" s="5" t="s">
        <v>1681</v>
      </c>
      <c r="B131" s="5" t="s">
        <v>1506</v>
      </c>
      <c r="C131" s="5" t="s">
        <v>1682</v>
      </c>
      <c r="D131" s="5" t="s">
        <v>14</v>
      </c>
      <c r="E131" s="25" t="s">
        <v>201</v>
      </c>
      <c r="F131" s="5" t="s">
        <v>202</v>
      </c>
      <c r="H131" s="35">
        <v>31806.0</v>
      </c>
      <c r="I131" s="5" t="s">
        <v>156</v>
      </c>
      <c r="J131" s="5" t="s">
        <v>17</v>
      </c>
      <c r="K131" s="5" t="b">
        <v>0</v>
      </c>
      <c r="L131" s="5" t="b">
        <v>0</v>
      </c>
      <c r="N131" s="5">
        <v>1500.0</v>
      </c>
      <c r="O131" s="5">
        <v>0.0</v>
      </c>
      <c r="P131" s="5">
        <v>0.0</v>
      </c>
      <c r="R131" s="5" t="b">
        <v>0</v>
      </c>
      <c r="U131" s="5" t="s">
        <v>1517</v>
      </c>
      <c r="V131" s="5" t="s">
        <v>1508</v>
      </c>
      <c r="W131" s="5" t="s">
        <v>1548</v>
      </c>
      <c r="X131" s="5" t="s">
        <v>1509</v>
      </c>
      <c r="Z131" s="5">
        <v>1200.0</v>
      </c>
      <c r="AA131" s="5" t="s">
        <v>1515</v>
      </c>
      <c r="AB131" s="5">
        <v>300.0</v>
      </c>
      <c r="AC131" s="5" t="s">
        <v>1510</v>
      </c>
      <c r="AE131" s="5">
        <v>4143.0</v>
      </c>
      <c r="AF131" s="36">
        <v>46112.44256640046</v>
      </c>
      <c r="AG131" s="5" t="s">
        <v>1549</v>
      </c>
    </row>
    <row r="132" ht="22.5" customHeight="1">
      <c r="A132" s="5" t="s">
        <v>1683</v>
      </c>
      <c r="B132" s="5" t="s">
        <v>1506</v>
      </c>
      <c r="C132" s="5" t="s">
        <v>1684</v>
      </c>
      <c r="D132" s="5" t="s">
        <v>14</v>
      </c>
      <c r="E132" s="5">
        <v>9.849848385E9</v>
      </c>
      <c r="F132" s="5" t="s">
        <v>34</v>
      </c>
      <c r="H132" s="35">
        <v>33622.0</v>
      </c>
      <c r="I132" s="5" t="s">
        <v>16</v>
      </c>
      <c r="J132" s="5" t="s">
        <v>17</v>
      </c>
      <c r="K132" s="5" t="b">
        <v>0</v>
      </c>
      <c r="L132" s="5" t="b">
        <v>0</v>
      </c>
      <c r="N132" s="5">
        <v>1500.0</v>
      </c>
      <c r="O132" s="5">
        <v>0.0</v>
      </c>
      <c r="P132" s="5">
        <v>0.0</v>
      </c>
      <c r="R132" s="5" t="b">
        <v>0</v>
      </c>
      <c r="U132" s="5" t="s">
        <v>1517</v>
      </c>
      <c r="V132" s="5" t="s">
        <v>1508</v>
      </c>
      <c r="W132" s="5" t="s">
        <v>1548</v>
      </c>
      <c r="X132" s="5" t="s">
        <v>1509</v>
      </c>
      <c r="Z132" s="5">
        <v>1200.0</v>
      </c>
      <c r="AA132" s="5" t="s">
        <v>1515</v>
      </c>
      <c r="AB132" s="5">
        <v>300.0</v>
      </c>
      <c r="AC132" s="5" t="s">
        <v>1510</v>
      </c>
      <c r="AE132" s="5">
        <v>4142.0</v>
      </c>
      <c r="AF132" s="36">
        <v>46112.44092299769</v>
      </c>
      <c r="AG132" s="5" t="s">
        <v>1549</v>
      </c>
    </row>
    <row r="133" ht="22.5" hidden="1" customHeight="1">
      <c r="A133" s="5" t="s">
        <v>1685</v>
      </c>
      <c r="B133" s="5" t="s">
        <v>1506</v>
      </c>
      <c r="C133" s="5" t="s">
        <v>975</v>
      </c>
      <c r="D133" s="5" t="s">
        <v>14</v>
      </c>
      <c r="E133" s="5">
        <v>9.851118842E9</v>
      </c>
      <c r="F133" s="5" t="s">
        <v>976</v>
      </c>
      <c r="G133" s="5">
        <v>7040612.0</v>
      </c>
      <c r="H133" s="35">
        <v>35218.0</v>
      </c>
      <c r="I133" s="5" t="s">
        <v>156</v>
      </c>
      <c r="J133" s="5" t="s">
        <v>42</v>
      </c>
      <c r="K133" s="5" t="b">
        <v>0</v>
      </c>
      <c r="L133" s="5" t="b">
        <v>0</v>
      </c>
      <c r="N133" s="5">
        <v>7500.0</v>
      </c>
      <c r="O133" s="5">
        <v>0.0</v>
      </c>
      <c r="P133" s="5">
        <v>0.0</v>
      </c>
      <c r="R133" s="5" t="b">
        <v>0</v>
      </c>
      <c r="U133" s="5" t="s">
        <v>1519</v>
      </c>
      <c r="V133" s="5" t="s">
        <v>1508</v>
      </c>
      <c r="W133" s="5" t="s">
        <v>1508</v>
      </c>
      <c r="X133" s="5" t="s">
        <v>1509</v>
      </c>
      <c r="Z133" s="5">
        <v>5625.0</v>
      </c>
      <c r="AA133" s="5" t="s">
        <v>699</v>
      </c>
      <c r="AB133" s="5">
        <v>1875.0</v>
      </c>
      <c r="AC133" s="5" t="s">
        <v>1510</v>
      </c>
      <c r="AD133" s="5" t="s">
        <v>1511</v>
      </c>
      <c r="AE133" s="5">
        <v>2121.0</v>
      </c>
      <c r="AF133" s="36">
        <v>46112.42389863426</v>
      </c>
    </row>
    <row r="134" ht="22.5" hidden="1" customHeight="1">
      <c r="A134" s="5" t="s">
        <v>1686</v>
      </c>
      <c r="B134" s="5" t="s">
        <v>1506</v>
      </c>
      <c r="C134" s="5" t="s">
        <v>596</v>
      </c>
      <c r="D134" s="5" t="s">
        <v>14</v>
      </c>
      <c r="E134" s="5">
        <v>9.817096696E9</v>
      </c>
      <c r="F134" s="5" t="s">
        <v>597</v>
      </c>
      <c r="G134" s="5">
        <v>6148800.0</v>
      </c>
      <c r="H134" s="35">
        <v>34653.0</v>
      </c>
      <c r="I134" s="5" t="s">
        <v>156</v>
      </c>
      <c r="J134" s="5" t="s">
        <v>39</v>
      </c>
      <c r="K134" s="5" t="b">
        <v>0</v>
      </c>
      <c r="L134" s="5" t="b">
        <v>0</v>
      </c>
      <c r="N134" s="5">
        <v>3000.0</v>
      </c>
      <c r="O134" s="5">
        <v>0.0</v>
      </c>
      <c r="P134" s="5">
        <v>0.0</v>
      </c>
      <c r="R134" s="5" t="b">
        <v>0</v>
      </c>
      <c r="U134" s="5" t="s">
        <v>1517</v>
      </c>
      <c r="V134" s="5" t="s">
        <v>1508</v>
      </c>
      <c r="W134" s="5" t="s">
        <v>1508</v>
      </c>
      <c r="X134" s="5" t="s">
        <v>1509</v>
      </c>
      <c r="Z134" s="5">
        <v>2250.0</v>
      </c>
      <c r="AA134" s="5" t="s">
        <v>1526</v>
      </c>
      <c r="AB134" s="5">
        <v>750.0</v>
      </c>
      <c r="AC134" s="5" t="s">
        <v>1510</v>
      </c>
      <c r="AE134" s="5">
        <v>3166.0</v>
      </c>
      <c r="AF134" s="36">
        <v>46112.421409710645</v>
      </c>
    </row>
    <row r="135" ht="22.5" hidden="1" customHeight="1">
      <c r="A135" s="5" t="s">
        <v>1687</v>
      </c>
      <c r="B135" s="5" t="s">
        <v>1506</v>
      </c>
      <c r="C135" s="5" t="s">
        <v>598</v>
      </c>
      <c r="D135" s="5" t="s">
        <v>14</v>
      </c>
      <c r="E135" s="5">
        <v>9.86062868E9</v>
      </c>
      <c r="F135" s="5" t="s">
        <v>599</v>
      </c>
      <c r="G135" s="5">
        <v>4792489.0</v>
      </c>
      <c r="H135" s="35">
        <v>34639.0</v>
      </c>
      <c r="I135" s="5" t="s">
        <v>156</v>
      </c>
      <c r="J135" s="5" t="s">
        <v>39</v>
      </c>
      <c r="K135" s="5" t="b">
        <v>0</v>
      </c>
      <c r="L135" s="5" t="b">
        <v>0</v>
      </c>
      <c r="N135" s="5">
        <v>3000.0</v>
      </c>
      <c r="O135" s="5">
        <v>0.0</v>
      </c>
      <c r="P135" s="5">
        <v>0.0</v>
      </c>
      <c r="R135" s="5" t="b">
        <v>0</v>
      </c>
      <c r="U135" s="5" t="s">
        <v>1507</v>
      </c>
      <c r="V135" s="5" t="s">
        <v>1508</v>
      </c>
      <c r="W135" s="5" t="s">
        <v>1508</v>
      </c>
      <c r="X135" s="5" t="s">
        <v>1509</v>
      </c>
      <c r="Z135" s="5">
        <v>3000.0</v>
      </c>
      <c r="AB135" s="5">
        <v>0.0</v>
      </c>
      <c r="AC135" s="5" t="s">
        <v>1510</v>
      </c>
      <c r="AD135" s="5" t="s">
        <v>1511</v>
      </c>
      <c r="AE135" s="5">
        <v>3188.0</v>
      </c>
      <c r="AF135" s="36">
        <v>46112.39683415509</v>
      </c>
    </row>
    <row r="136" ht="22.5" hidden="1" customHeight="1">
      <c r="A136" s="5" t="s">
        <v>1688</v>
      </c>
      <c r="B136" s="5" t="s">
        <v>1506</v>
      </c>
      <c r="C136" s="5" t="s">
        <v>921</v>
      </c>
      <c r="D136" s="5" t="s">
        <v>366</v>
      </c>
      <c r="E136" s="5">
        <v>9.18730952149E11</v>
      </c>
      <c r="F136" s="5" t="s">
        <v>922</v>
      </c>
      <c r="H136" s="35">
        <v>32545.0</v>
      </c>
      <c r="I136" s="5" t="s">
        <v>16</v>
      </c>
      <c r="J136" s="5" t="s">
        <v>42</v>
      </c>
      <c r="K136" s="5" t="b">
        <v>0</v>
      </c>
      <c r="L136" s="5" t="b">
        <v>0</v>
      </c>
      <c r="N136" s="5">
        <v>80.0</v>
      </c>
      <c r="O136" s="5">
        <v>0.0</v>
      </c>
      <c r="P136" s="5">
        <v>0.0</v>
      </c>
      <c r="R136" s="5" t="b">
        <v>0</v>
      </c>
      <c r="U136" s="5" t="s">
        <v>1580</v>
      </c>
      <c r="V136" s="5" t="s">
        <v>1508</v>
      </c>
      <c r="W136" s="5" t="s">
        <v>1508</v>
      </c>
      <c r="X136" s="5" t="s">
        <v>1509</v>
      </c>
      <c r="Z136" s="5">
        <v>80.0</v>
      </c>
      <c r="AB136" s="5">
        <v>0.0</v>
      </c>
      <c r="AC136" s="5" t="s">
        <v>1546</v>
      </c>
      <c r="AD136" s="5" t="s">
        <v>1511</v>
      </c>
      <c r="AE136" s="5">
        <v>2135.0</v>
      </c>
      <c r="AF136" s="36">
        <v>46112.39397953704</v>
      </c>
    </row>
    <row r="137" ht="22.5" hidden="1" customHeight="1">
      <c r="A137" s="5" t="s">
        <v>1689</v>
      </c>
      <c r="B137" s="5" t="s">
        <v>1506</v>
      </c>
      <c r="C137" s="5" t="s">
        <v>1172</v>
      </c>
      <c r="D137" s="5" t="s">
        <v>14</v>
      </c>
      <c r="E137" s="25" t="s">
        <v>1690</v>
      </c>
      <c r="F137" s="5" t="s">
        <v>1247</v>
      </c>
      <c r="G137" s="5">
        <v>6293548.0</v>
      </c>
      <c r="H137" s="35">
        <v>34316.0</v>
      </c>
      <c r="I137" s="5" t="s">
        <v>156</v>
      </c>
      <c r="J137" s="5" t="s">
        <v>36</v>
      </c>
      <c r="K137" s="5" t="b">
        <v>0</v>
      </c>
      <c r="L137" s="5" t="b">
        <v>0</v>
      </c>
      <c r="N137" s="5">
        <v>12000.0</v>
      </c>
      <c r="O137" s="5">
        <v>0.0</v>
      </c>
      <c r="P137" s="5">
        <v>0.0</v>
      </c>
      <c r="R137" s="5" t="b">
        <v>0</v>
      </c>
      <c r="U137" s="5" t="s">
        <v>1519</v>
      </c>
      <c r="V137" s="5" t="s">
        <v>1508</v>
      </c>
      <c r="W137" s="5" t="s">
        <v>1548</v>
      </c>
      <c r="X137" s="5" t="s">
        <v>1509</v>
      </c>
      <c r="Z137" s="5">
        <v>12000.0</v>
      </c>
      <c r="AB137" s="5">
        <v>0.0</v>
      </c>
      <c r="AC137" s="5" t="s">
        <v>1510</v>
      </c>
      <c r="AE137" s="5">
        <v>1069.0</v>
      </c>
      <c r="AF137" s="36">
        <v>46112.381416145836</v>
      </c>
      <c r="AG137" s="5" t="s">
        <v>1549</v>
      </c>
    </row>
    <row r="138" ht="22.5" customHeight="1">
      <c r="A138" s="5" t="s">
        <v>1691</v>
      </c>
      <c r="B138" s="5" t="s">
        <v>1506</v>
      </c>
      <c r="C138" s="5" t="s">
        <v>203</v>
      </c>
      <c r="D138" s="5" t="s">
        <v>14</v>
      </c>
      <c r="E138" s="25" t="s">
        <v>204</v>
      </c>
      <c r="F138" s="5" t="s">
        <v>205</v>
      </c>
      <c r="H138" s="35">
        <v>39391.0</v>
      </c>
      <c r="I138" s="5" t="s">
        <v>156</v>
      </c>
      <c r="J138" s="5" t="s">
        <v>17</v>
      </c>
      <c r="K138" s="5" t="b">
        <v>0</v>
      </c>
      <c r="L138" s="5" t="b">
        <v>0</v>
      </c>
      <c r="N138" s="5">
        <v>1500.0</v>
      </c>
      <c r="O138" s="5">
        <v>0.0</v>
      </c>
      <c r="P138" s="5">
        <v>0.0</v>
      </c>
      <c r="R138" s="5" t="b">
        <v>0</v>
      </c>
      <c r="U138" s="5" t="s">
        <v>1514</v>
      </c>
      <c r="V138" s="5" t="s">
        <v>1508</v>
      </c>
      <c r="W138" s="5" t="s">
        <v>1508</v>
      </c>
      <c r="X138" s="5" t="s">
        <v>1509</v>
      </c>
      <c r="Z138" s="5">
        <v>1125.0</v>
      </c>
      <c r="AA138" s="5" t="s">
        <v>1526</v>
      </c>
      <c r="AB138" s="5">
        <v>375.0</v>
      </c>
      <c r="AC138" s="5" t="s">
        <v>1510</v>
      </c>
      <c r="AE138" s="5">
        <v>4141.0</v>
      </c>
      <c r="AF138" s="36">
        <v>46112.37638450231</v>
      </c>
    </row>
    <row r="139" ht="22.5" customHeight="1">
      <c r="A139" s="5" t="s">
        <v>1692</v>
      </c>
      <c r="B139" s="5" t="s">
        <v>1506</v>
      </c>
      <c r="C139" s="5" t="s">
        <v>206</v>
      </c>
      <c r="D139" s="5" t="s">
        <v>14</v>
      </c>
      <c r="E139" s="5">
        <v>9.708580053E9</v>
      </c>
      <c r="F139" s="5" t="s">
        <v>207</v>
      </c>
      <c r="H139" s="35">
        <v>35962.0</v>
      </c>
      <c r="I139" s="5" t="s">
        <v>156</v>
      </c>
      <c r="J139" s="5" t="s">
        <v>17</v>
      </c>
      <c r="K139" s="5" t="b">
        <v>0</v>
      </c>
      <c r="L139" s="5" t="b">
        <v>0</v>
      </c>
      <c r="N139" s="5">
        <v>1500.0</v>
      </c>
      <c r="O139" s="5">
        <v>0.0</v>
      </c>
      <c r="P139" s="5">
        <v>0.0</v>
      </c>
      <c r="R139" s="5" t="b">
        <v>0</v>
      </c>
      <c r="U139" s="5" t="s">
        <v>1514</v>
      </c>
      <c r="V139" s="5" t="s">
        <v>1508</v>
      </c>
      <c r="W139" s="5" t="s">
        <v>1508</v>
      </c>
      <c r="X139" s="5" t="s">
        <v>1509</v>
      </c>
      <c r="Z139" s="5">
        <v>1125.0</v>
      </c>
      <c r="AA139" s="5" t="s">
        <v>1556</v>
      </c>
      <c r="AB139" s="5">
        <v>375.0</v>
      </c>
      <c r="AC139" s="5" t="s">
        <v>1510</v>
      </c>
      <c r="AE139" s="5">
        <v>4140.0</v>
      </c>
      <c r="AF139" s="36">
        <v>46112.37459847222</v>
      </c>
    </row>
    <row r="140" ht="22.5" customHeight="1">
      <c r="A140" s="5" t="s">
        <v>1693</v>
      </c>
      <c r="B140" s="5" t="s">
        <v>1506</v>
      </c>
      <c r="C140" s="5" t="s">
        <v>1694</v>
      </c>
      <c r="D140" s="5" t="s">
        <v>14</v>
      </c>
      <c r="E140" s="25" t="s">
        <v>209</v>
      </c>
      <c r="F140" s="5" t="s">
        <v>210</v>
      </c>
      <c r="H140" s="35">
        <v>35312.0</v>
      </c>
      <c r="I140" s="5" t="s">
        <v>156</v>
      </c>
      <c r="J140" s="5" t="s">
        <v>17</v>
      </c>
      <c r="K140" s="5" t="b">
        <v>0</v>
      </c>
      <c r="L140" s="5" t="b">
        <v>0</v>
      </c>
      <c r="N140" s="5">
        <v>1500.0</v>
      </c>
      <c r="O140" s="5">
        <v>0.0</v>
      </c>
      <c r="P140" s="5">
        <v>0.0</v>
      </c>
      <c r="R140" s="5" t="b">
        <v>0</v>
      </c>
      <c r="U140" s="5" t="s">
        <v>1514</v>
      </c>
      <c r="V140" s="5" t="s">
        <v>1508</v>
      </c>
      <c r="W140" s="5" t="s">
        <v>1508</v>
      </c>
      <c r="X140" s="5" t="s">
        <v>1509</v>
      </c>
      <c r="Z140" s="5">
        <v>1125.0</v>
      </c>
      <c r="AA140" s="5" t="s">
        <v>1556</v>
      </c>
      <c r="AB140" s="5">
        <v>375.0</v>
      </c>
      <c r="AC140" s="5" t="s">
        <v>1510</v>
      </c>
      <c r="AE140" s="5">
        <v>4139.0</v>
      </c>
      <c r="AF140" s="36">
        <v>46112.37442414352</v>
      </c>
    </row>
    <row r="141" ht="22.5" customHeight="1">
      <c r="A141" s="5" t="s">
        <v>1695</v>
      </c>
      <c r="B141" s="5" t="s">
        <v>1506</v>
      </c>
      <c r="C141" s="5" t="s">
        <v>211</v>
      </c>
      <c r="D141" s="5" t="s">
        <v>14</v>
      </c>
      <c r="E141" s="5">
        <v>9.843803484E9</v>
      </c>
      <c r="F141" s="5" t="s">
        <v>212</v>
      </c>
      <c r="H141" s="35">
        <v>36487.0</v>
      </c>
      <c r="I141" s="5" t="s">
        <v>156</v>
      </c>
      <c r="J141" s="5" t="s">
        <v>17</v>
      </c>
      <c r="K141" s="5" t="b">
        <v>0</v>
      </c>
      <c r="L141" s="5" t="b">
        <v>0</v>
      </c>
      <c r="N141" s="5">
        <v>1500.0</v>
      </c>
      <c r="O141" s="5">
        <v>0.0</v>
      </c>
      <c r="P141" s="5">
        <v>0.0</v>
      </c>
      <c r="R141" s="5" t="b">
        <v>0</v>
      </c>
      <c r="U141" s="5" t="s">
        <v>1519</v>
      </c>
      <c r="V141" s="5" t="s">
        <v>1508</v>
      </c>
      <c r="W141" s="5" t="s">
        <v>1508</v>
      </c>
      <c r="X141" s="5" t="s">
        <v>1509</v>
      </c>
      <c r="Z141" s="5">
        <v>1125.0</v>
      </c>
      <c r="AA141" s="5" t="s">
        <v>699</v>
      </c>
      <c r="AB141" s="5">
        <v>375.0</v>
      </c>
      <c r="AC141" s="5" t="s">
        <v>1510</v>
      </c>
      <c r="AE141" s="5">
        <v>4138.0</v>
      </c>
      <c r="AF141" s="36">
        <v>46112.37053436343</v>
      </c>
    </row>
    <row r="142" ht="22.5" hidden="1" customHeight="1">
      <c r="A142" s="5" t="s">
        <v>1696</v>
      </c>
      <c r="B142" s="5" t="s">
        <v>1506</v>
      </c>
      <c r="C142" s="5" t="s">
        <v>1697</v>
      </c>
      <c r="D142" s="5" t="s">
        <v>14</v>
      </c>
      <c r="E142" s="5">
        <v>9.861706619E9</v>
      </c>
      <c r="F142" s="5" t="s">
        <v>978</v>
      </c>
      <c r="G142" s="5">
        <v>6999788.0</v>
      </c>
      <c r="H142" s="35">
        <v>38401.0</v>
      </c>
      <c r="I142" s="5" t="s">
        <v>156</v>
      </c>
      <c r="J142" s="5" t="s">
        <v>42</v>
      </c>
      <c r="K142" s="5" t="b">
        <v>0</v>
      </c>
      <c r="L142" s="5" t="b">
        <v>0</v>
      </c>
      <c r="N142" s="5">
        <v>7500.0</v>
      </c>
      <c r="O142" s="5">
        <v>0.0</v>
      </c>
      <c r="P142" s="5">
        <v>0.0</v>
      </c>
      <c r="R142" s="5" t="b">
        <v>0</v>
      </c>
      <c r="U142" s="5" t="s">
        <v>1519</v>
      </c>
      <c r="V142" s="5" t="s">
        <v>1508</v>
      </c>
      <c r="W142" s="5" t="s">
        <v>1508</v>
      </c>
      <c r="X142" s="5" t="s">
        <v>1509</v>
      </c>
      <c r="Z142" s="5">
        <v>5625.0</v>
      </c>
      <c r="AA142" s="5" t="s">
        <v>1526</v>
      </c>
      <c r="AB142" s="5">
        <v>1875.0</v>
      </c>
      <c r="AC142" s="5" t="s">
        <v>1510</v>
      </c>
      <c r="AE142" s="5">
        <v>2111.0</v>
      </c>
      <c r="AF142" s="36">
        <v>46112.35992390046</v>
      </c>
    </row>
    <row r="143" ht="22.5" customHeight="1">
      <c r="A143" s="5" t="s">
        <v>1698</v>
      </c>
      <c r="B143" s="5" t="s">
        <v>1506</v>
      </c>
      <c r="C143" s="5" t="s">
        <v>37</v>
      </c>
      <c r="D143" s="5" t="s">
        <v>14</v>
      </c>
      <c r="E143" s="5">
        <v>9.823429109E9</v>
      </c>
      <c r="F143" s="5" t="s">
        <v>38</v>
      </c>
      <c r="H143" s="35">
        <v>31804.0</v>
      </c>
      <c r="I143" s="5" t="s">
        <v>16</v>
      </c>
      <c r="J143" s="5" t="s">
        <v>17</v>
      </c>
      <c r="K143" s="5" t="b">
        <v>0</v>
      </c>
      <c r="L143" s="5" t="b">
        <v>0</v>
      </c>
      <c r="N143" s="5">
        <v>1500.0</v>
      </c>
      <c r="O143" s="5">
        <v>0.0</v>
      </c>
      <c r="P143" s="5">
        <v>0.0</v>
      </c>
      <c r="R143" s="5" t="b">
        <v>0</v>
      </c>
      <c r="U143" s="5" t="s">
        <v>1519</v>
      </c>
      <c r="V143" s="5" t="s">
        <v>1508</v>
      </c>
      <c r="W143" s="5" t="s">
        <v>1508</v>
      </c>
      <c r="X143" s="5" t="s">
        <v>1509</v>
      </c>
      <c r="Z143" s="5">
        <v>1500.0</v>
      </c>
      <c r="AB143" s="5">
        <v>0.0</v>
      </c>
      <c r="AC143" s="5" t="s">
        <v>1510</v>
      </c>
      <c r="AE143" s="5">
        <v>4136.0</v>
      </c>
      <c r="AF143" s="36">
        <v>46112.35666498842</v>
      </c>
    </row>
    <row r="144" ht="22.5" hidden="1" customHeight="1">
      <c r="A144" s="5" t="s">
        <v>1699</v>
      </c>
      <c r="B144" s="5" t="s">
        <v>1506</v>
      </c>
      <c r="C144" s="5" t="s">
        <v>1178</v>
      </c>
      <c r="D144" s="5" t="s">
        <v>14</v>
      </c>
      <c r="E144" s="5">
        <v>9.84044993E9</v>
      </c>
      <c r="F144" s="5" t="s">
        <v>1179</v>
      </c>
      <c r="G144" s="5">
        <v>6933093.0</v>
      </c>
      <c r="H144" s="35">
        <v>36163.0</v>
      </c>
      <c r="I144" s="5" t="s">
        <v>16</v>
      </c>
      <c r="J144" s="5" t="s">
        <v>42</v>
      </c>
      <c r="K144" s="5" t="b">
        <v>0</v>
      </c>
      <c r="L144" s="5" t="b">
        <v>0</v>
      </c>
      <c r="N144" s="5">
        <v>7500.0</v>
      </c>
      <c r="O144" s="5">
        <v>0.0</v>
      </c>
      <c r="P144" s="5">
        <v>0.0</v>
      </c>
      <c r="R144" s="5" t="b">
        <v>0</v>
      </c>
      <c r="U144" s="5" t="s">
        <v>1519</v>
      </c>
      <c r="V144" s="5" t="s">
        <v>1508</v>
      </c>
      <c r="W144" s="5" t="s">
        <v>1508</v>
      </c>
      <c r="X144" s="5" t="s">
        <v>1509</v>
      </c>
      <c r="Z144" s="5">
        <v>5625.0</v>
      </c>
      <c r="AA144" s="5" t="s">
        <v>699</v>
      </c>
      <c r="AB144" s="5">
        <v>1875.0</v>
      </c>
      <c r="AC144" s="5" t="s">
        <v>1510</v>
      </c>
      <c r="AE144" s="5">
        <v>2109.0</v>
      </c>
      <c r="AF144" s="36">
        <v>46112.35438225694</v>
      </c>
    </row>
    <row r="145" ht="22.5" hidden="1" customHeight="1">
      <c r="A145" s="5" t="s">
        <v>1700</v>
      </c>
      <c r="B145" s="5" t="s">
        <v>1506</v>
      </c>
      <c r="C145" s="5" t="s">
        <v>1701</v>
      </c>
      <c r="D145" s="5" t="s">
        <v>14</v>
      </c>
      <c r="E145" s="5">
        <v>9.742407889E9</v>
      </c>
      <c r="F145" s="5" t="s">
        <v>980</v>
      </c>
      <c r="G145" s="5">
        <v>6999688.0</v>
      </c>
      <c r="H145" s="35">
        <v>38967.0</v>
      </c>
      <c r="I145" s="5" t="s">
        <v>156</v>
      </c>
      <c r="J145" s="5" t="s">
        <v>42</v>
      </c>
      <c r="K145" s="5" t="b">
        <v>0</v>
      </c>
      <c r="L145" s="5" t="b">
        <v>0</v>
      </c>
      <c r="N145" s="5">
        <v>7500.0</v>
      </c>
      <c r="O145" s="5">
        <v>0.0</v>
      </c>
      <c r="P145" s="5">
        <v>0.0</v>
      </c>
      <c r="R145" s="5" t="b">
        <v>0</v>
      </c>
      <c r="U145" s="5" t="s">
        <v>1519</v>
      </c>
      <c r="V145" s="5" t="s">
        <v>1508</v>
      </c>
      <c r="W145" s="5" t="s">
        <v>1508</v>
      </c>
      <c r="X145" s="5" t="s">
        <v>1509</v>
      </c>
      <c r="Z145" s="5">
        <v>0.0</v>
      </c>
      <c r="AA145" s="5" t="s">
        <v>1702</v>
      </c>
      <c r="AB145" s="5">
        <v>7500.0</v>
      </c>
      <c r="AC145" s="5" t="s">
        <v>1510</v>
      </c>
      <c r="AD145" s="5" t="s">
        <v>1527</v>
      </c>
      <c r="AE145" s="5">
        <v>2110.0</v>
      </c>
      <c r="AF145" s="36">
        <v>46112.352116574075</v>
      </c>
    </row>
    <row r="146" ht="22.5" hidden="1" customHeight="1">
      <c r="A146" s="5" t="s">
        <v>1703</v>
      </c>
      <c r="B146" s="5" t="s">
        <v>1506</v>
      </c>
      <c r="C146" s="5" t="s">
        <v>600</v>
      </c>
      <c r="D146" s="5" t="s">
        <v>14</v>
      </c>
      <c r="E146" s="25" t="s">
        <v>601</v>
      </c>
      <c r="F146" s="5" t="s">
        <v>602</v>
      </c>
      <c r="G146" s="5">
        <v>6996442.0</v>
      </c>
      <c r="H146" s="35">
        <v>20880.0</v>
      </c>
      <c r="I146" s="5" t="s">
        <v>156</v>
      </c>
      <c r="J146" s="5" t="s">
        <v>39</v>
      </c>
      <c r="K146" s="5" t="b">
        <v>0</v>
      </c>
      <c r="L146" s="5" t="b">
        <v>0</v>
      </c>
      <c r="N146" s="5">
        <v>3000.0</v>
      </c>
      <c r="O146" s="5">
        <v>0.0</v>
      </c>
      <c r="P146" s="5">
        <v>0.0</v>
      </c>
      <c r="R146" s="5" t="b">
        <v>0</v>
      </c>
      <c r="U146" s="5" t="s">
        <v>1517</v>
      </c>
      <c r="V146" s="5" t="s">
        <v>1508</v>
      </c>
      <c r="W146" s="5" t="s">
        <v>1508</v>
      </c>
      <c r="X146" s="5" t="s">
        <v>1509</v>
      </c>
      <c r="Z146" s="5">
        <v>3000.0</v>
      </c>
      <c r="AB146" s="5">
        <v>0.0</v>
      </c>
      <c r="AC146" s="5" t="s">
        <v>1510</v>
      </c>
      <c r="AD146" s="5" t="s">
        <v>1511</v>
      </c>
      <c r="AE146" s="5">
        <v>3189.0</v>
      </c>
      <c r="AF146" s="36">
        <v>46112.34908768519</v>
      </c>
    </row>
    <row r="147" ht="22.5" hidden="1" customHeight="1">
      <c r="A147" s="5" t="s">
        <v>1704</v>
      </c>
      <c r="B147" s="5" t="s">
        <v>1506</v>
      </c>
      <c r="C147" s="5" t="s">
        <v>981</v>
      </c>
      <c r="D147" s="5" t="s">
        <v>14</v>
      </c>
      <c r="E147" s="5">
        <v>9.84918317E9</v>
      </c>
      <c r="F147" s="5" t="s">
        <v>982</v>
      </c>
      <c r="G147" s="5">
        <v>7120816.0</v>
      </c>
      <c r="H147" s="35">
        <v>32594.0</v>
      </c>
      <c r="I147" s="5" t="s">
        <v>156</v>
      </c>
      <c r="J147" s="5" t="s">
        <v>42</v>
      </c>
      <c r="K147" s="5" t="b">
        <v>0</v>
      </c>
      <c r="L147" s="5" t="b">
        <v>0</v>
      </c>
      <c r="N147" s="5">
        <v>7500.0</v>
      </c>
      <c r="O147" s="5">
        <v>0.0</v>
      </c>
      <c r="P147" s="5">
        <v>0.0</v>
      </c>
      <c r="R147" s="5" t="b">
        <v>0</v>
      </c>
      <c r="U147" s="5" t="s">
        <v>1517</v>
      </c>
      <c r="V147" s="5" t="s">
        <v>1508</v>
      </c>
      <c r="W147" s="5" t="s">
        <v>1548</v>
      </c>
      <c r="X147" s="5" t="s">
        <v>1509</v>
      </c>
      <c r="Z147" s="5">
        <v>5625.0</v>
      </c>
      <c r="AA147" s="5" t="s">
        <v>699</v>
      </c>
      <c r="AB147" s="5">
        <v>1875.0</v>
      </c>
      <c r="AC147" s="5" t="s">
        <v>1510</v>
      </c>
      <c r="AE147" s="5">
        <v>2108.0</v>
      </c>
      <c r="AF147" s="36">
        <v>46112.34780246528</v>
      </c>
      <c r="AG147" s="5" t="s">
        <v>1549</v>
      </c>
    </row>
    <row r="148" ht="22.5" hidden="1" customHeight="1">
      <c r="A148" s="5" t="s">
        <v>1705</v>
      </c>
      <c r="B148" s="5" t="s">
        <v>1506</v>
      </c>
      <c r="C148" s="5" t="s">
        <v>603</v>
      </c>
      <c r="D148" s="5" t="s">
        <v>14</v>
      </c>
      <c r="E148" s="5">
        <v>9.849224477E9</v>
      </c>
      <c r="F148" s="5" t="s">
        <v>604</v>
      </c>
      <c r="H148" s="35">
        <v>33715.0</v>
      </c>
      <c r="I148" s="5" t="s">
        <v>156</v>
      </c>
      <c r="J148" s="5" t="s">
        <v>39</v>
      </c>
      <c r="K148" s="5" t="b">
        <v>0</v>
      </c>
      <c r="L148" s="5" t="b">
        <v>0</v>
      </c>
      <c r="N148" s="5">
        <v>3000.0</v>
      </c>
      <c r="O148" s="5">
        <v>0.0</v>
      </c>
      <c r="P148" s="5">
        <v>0.0</v>
      </c>
      <c r="R148" s="5" t="b">
        <v>0</v>
      </c>
      <c r="U148" s="5" t="s">
        <v>1517</v>
      </c>
      <c r="V148" s="5" t="s">
        <v>1508</v>
      </c>
      <c r="W148" s="5" t="s">
        <v>1508</v>
      </c>
      <c r="X148" s="5" t="s">
        <v>1509</v>
      </c>
      <c r="Z148" s="5">
        <v>2250.0</v>
      </c>
      <c r="AA148" s="5" t="s">
        <v>1556</v>
      </c>
      <c r="AB148" s="5">
        <v>750.0</v>
      </c>
      <c r="AC148" s="5" t="s">
        <v>1510</v>
      </c>
      <c r="AE148" s="5">
        <v>3165.0</v>
      </c>
      <c r="AF148" s="36">
        <v>46112.31107574074</v>
      </c>
    </row>
    <row r="149" ht="22.5" hidden="1" customHeight="1">
      <c r="A149" s="5" t="s">
        <v>1706</v>
      </c>
      <c r="B149" s="5" t="s">
        <v>1506</v>
      </c>
      <c r="C149" s="5" t="s">
        <v>983</v>
      </c>
      <c r="D149" s="5" t="s">
        <v>14</v>
      </c>
      <c r="E149" s="5">
        <v>9.822794687E9</v>
      </c>
      <c r="F149" s="5" t="s">
        <v>984</v>
      </c>
      <c r="H149" s="35">
        <v>33730.0</v>
      </c>
      <c r="I149" s="5" t="s">
        <v>156</v>
      </c>
      <c r="J149" s="5" t="s">
        <v>42</v>
      </c>
      <c r="K149" s="5" t="b">
        <v>0</v>
      </c>
      <c r="L149" s="5" t="b">
        <v>0</v>
      </c>
      <c r="N149" s="5">
        <v>7500.0</v>
      </c>
      <c r="O149" s="5">
        <v>0.0</v>
      </c>
      <c r="P149" s="5">
        <v>0.0</v>
      </c>
      <c r="R149" s="5" t="b">
        <v>0</v>
      </c>
      <c r="U149" s="5" t="s">
        <v>1517</v>
      </c>
      <c r="V149" s="5" t="s">
        <v>1508</v>
      </c>
      <c r="W149" s="5" t="s">
        <v>1508</v>
      </c>
      <c r="X149" s="5" t="s">
        <v>1509</v>
      </c>
      <c r="Z149" s="5">
        <v>5625.0</v>
      </c>
      <c r="AA149" s="5" t="s">
        <v>1556</v>
      </c>
      <c r="AB149" s="5">
        <v>1875.0</v>
      </c>
      <c r="AC149" s="5" t="s">
        <v>1510</v>
      </c>
      <c r="AE149" s="5">
        <v>2107.0</v>
      </c>
      <c r="AF149" s="36">
        <v>46112.31064091435</v>
      </c>
    </row>
    <row r="150" ht="22.5" hidden="1" customHeight="1">
      <c r="A150" s="5" t="s">
        <v>1707</v>
      </c>
      <c r="B150" s="5" t="s">
        <v>1506</v>
      </c>
      <c r="C150" s="5" t="s">
        <v>1235</v>
      </c>
      <c r="D150" s="5" t="s">
        <v>14</v>
      </c>
      <c r="E150" s="5">
        <v>9.857039307E9</v>
      </c>
      <c r="F150" s="5" t="s">
        <v>1236</v>
      </c>
      <c r="G150" s="5">
        <v>6741592.0</v>
      </c>
      <c r="H150" s="35">
        <v>34836.0</v>
      </c>
      <c r="I150" s="5" t="s">
        <v>156</v>
      </c>
      <c r="J150" s="5" t="s">
        <v>36</v>
      </c>
      <c r="K150" s="5" t="b">
        <v>0</v>
      </c>
      <c r="L150" s="5" t="b">
        <v>0</v>
      </c>
      <c r="N150" s="5">
        <v>12000.0</v>
      </c>
      <c r="O150" s="5">
        <v>0.0</v>
      </c>
      <c r="P150" s="5">
        <v>0.0</v>
      </c>
      <c r="R150" s="5" t="b">
        <v>0</v>
      </c>
      <c r="U150" s="5" t="s">
        <v>1517</v>
      </c>
      <c r="V150" s="5" t="s">
        <v>1508</v>
      </c>
      <c r="W150" s="5" t="s">
        <v>1508</v>
      </c>
      <c r="X150" s="5" t="s">
        <v>1509</v>
      </c>
      <c r="Z150" s="5">
        <v>9000.0</v>
      </c>
      <c r="AA150" s="5" t="s">
        <v>699</v>
      </c>
      <c r="AB150" s="5">
        <v>3000.0</v>
      </c>
      <c r="AC150" s="5" t="s">
        <v>1510</v>
      </c>
      <c r="AE150" s="5">
        <v>1068.0</v>
      </c>
      <c r="AF150" s="36">
        <v>46112.30755460648</v>
      </c>
    </row>
    <row r="151" ht="22.5" customHeight="1">
      <c r="A151" s="5" t="s">
        <v>1708</v>
      </c>
      <c r="B151" s="5" t="s">
        <v>1506</v>
      </c>
      <c r="C151" s="5" t="s">
        <v>213</v>
      </c>
      <c r="D151" s="5" t="s">
        <v>14</v>
      </c>
      <c r="E151" s="25" t="s">
        <v>214</v>
      </c>
      <c r="F151" s="5" t="s">
        <v>215</v>
      </c>
      <c r="H151" s="35">
        <v>33620.0</v>
      </c>
      <c r="I151" s="5" t="s">
        <v>156</v>
      </c>
      <c r="J151" s="5" t="s">
        <v>17</v>
      </c>
      <c r="K151" s="5" t="b">
        <v>0</v>
      </c>
      <c r="L151" s="5" t="b">
        <v>0</v>
      </c>
      <c r="N151" s="5">
        <v>1500.0</v>
      </c>
      <c r="O151" s="5">
        <v>0.0</v>
      </c>
      <c r="P151" s="5">
        <v>0.0</v>
      </c>
      <c r="R151" s="5" t="b">
        <v>0</v>
      </c>
      <c r="U151" s="5" t="s">
        <v>1514</v>
      </c>
      <c r="V151" s="5" t="s">
        <v>1508</v>
      </c>
      <c r="W151" s="5" t="s">
        <v>1508</v>
      </c>
      <c r="X151" s="5" t="s">
        <v>1509</v>
      </c>
      <c r="Z151" s="5">
        <v>1500.0</v>
      </c>
      <c r="AB151" s="5">
        <v>0.0</v>
      </c>
      <c r="AC151" s="5" t="s">
        <v>1510</v>
      </c>
      <c r="AE151" s="5">
        <v>4135.0</v>
      </c>
      <c r="AF151" s="36">
        <v>46112.30630957176</v>
      </c>
    </row>
    <row r="152" ht="22.5" customHeight="1">
      <c r="A152" s="5" t="s">
        <v>1709</v>
      </c>
      <c r="B152" s="5" t="s">
        <v>1506</v>
      </c>
      <c r="C152" s="5" t="s">
        <v>216</v>
      </c>
      <c r="D152" s="5" t="s">
        <v>14</v>
      </c>
      <c r="E152" s="25" t="s">
        <v>217</v>
      </c>
      <c r="F152" s="5" t="s">
        <v>218</v>
      </c>
      <c r="H152" s="35">
        <v>33659.0</v>
      </c>
      <c r="I152" s="5" t="s">
        <v>156</v>
      </c>
      <c r="J152" s="5" t="s">
        <v>17</v>
      </c>
      <c r="K152" s="5" t="b">
        <v>0</v>
      </c>
      <c r="L152" s="5" t="b">
        <v>0</v>
      </c>
      <c r="N152" s="5">
        <v>1500.0</v>
      </c>
      <c r="O152" s="5">
        <v>0.0</v>
      </c>
      <c r="P152" s="5">
        <v>0.0</v>
      </c>
      <c r="R152" s="5" t="b">
        <v>0</v>
      </c>
      <c r="U152" s="5" t="s">
        <v>1578</v>
      </c>
      <c r="V152" s="5" t="s">
        <v>1508</v>
      </c>
      <c r="W152" s="5" t="s">
        <v>1508</v>
      </c>
      <c r="X152" s="5" t="s">
        <v>1509</v>
      </c>
      <c r="Z152" s="5">
        <v>1500.0</v>
      </c>
      <c r="AB152" s="5">
        <v>0.0</v>
      </c>
      <c r="AC152" s="5" t="s">
        <v>1510</v>
      </c>
      <c r="AE152" s="5">
        <v>4134.0</v>
      </c>
      <c r="AF152" s="36">
        <v>46112.30455502315</v>
      </c>
    </row>
    <row r="153" ht="22.5" hidden="1" customHeight="1">
      <c r="A153" s="5" t="s">
        <v>1710</v>
      </c>
      <c r="B153" s="5" t="s">
        <v>1506</v>
      </c>
      <c r="C153" s="5" t="s">
        <v>1237</v>
      </c>
      <c r="D153" s="5" t="s">
        <v>14</v>
      </c>
      <c r="E153" s="5">
        <v>9.841627262E9</v>
      </c>
      <c r="F153" s="5" t="s">
        <v>1238</v>
      </c>
      <c r="G153" s="5">
        <v>6909937.0</v>
      </c>
      <c r="H153" s="35">
        <v>33617.0</v>
      </c>
      <c r="I153" s="5" t="s">
        <v>156</v>
      </c>
      <c r="J153" s="5" t="s">
        <v>36</v>
      </c>
      <c r="K153" s="5" t="b">
        <v>0</v>
      </c>
      <c r="L153" s="5" t="b">
        <v>0</v>
      </c>
      <c r="N153" s="5">
        <v>12000.0</v>
      </c>
      <c r="O153" s="5">
        <v>0.0</v>
      </c>
      <c r="P153" s="5">
        <v>0.0</v>
      </c>
      <c r="R153" s="5" t="b">
        <v>0</v>
      </c>
      <c r="U153" s="5" t="s">
        <v>1507</v>
      </c>
      <c r="V153" s="5" t="s">
        <v>1508</v>
      </c>
      <c r="W153" s="5" t="s">
        <v>1508</v>
      </c>
      <c r="X153" s="5" t="s">
        <v>1509</v>
      </c>
      <c r="Z153" s="5">
        <v>9000.0</v>
      </c>
      <c r="AA153" s="5" t="s">
        <v>699</v>
      </c>
      <c r="AB153" s="5">
        <v>3000.0</v>
      </c>
      <c r="AC153" s="5" t="s">
        <v>1510</v>
      </c>
      <c r="AE153" s="5">
        <v>1067.0</v>
      </c>
      <c r="AF153" s="36">
        <v>46112.300333645835</v>
      </c>
    </row>
    <row r="154" ht="22.5" hidden="1" customHeight="1">
      <c r="A154" s="5" t="s">
        <v>1711</v>
      </c>
      <c r="B154" s="5" t="s">
        <v>1506</v>
      </c>
      <c r="C154" s="5" t="s">
        <v>1712</v>
      </c>
      <c r="D154" s="5" t="s">
        <v>1713</v>
      </c>
      <c r="E154" s="25" t="s">
        <v>857</v>
      </c>
      <c r="F154" s="5" t="s">
        <v>858</v>
      </c>
      <c r="H154" s="35">
        <v>29768.0</v>
      </c>
      <c r="I154" s="5" t="s">
        <v>156</v>
      </c>
      <c r="J154" s="5" t="s">
        <v>39</v>
      </c>
      <c r="K154" s="5" t="b">
        <v>0</v>
      </c>
      <c r="L154" s="5" t="b">
        <v>0</v>
      </c>
      <c r="N154" s="5">
        <v>3000.0</v>
      </c>
      <c r="O154" s="5">
        <v>0.0</v>
      </c>
      <c r="P154" s="5">
        <v>0.0</v>
      </c>
      <c r="R154" s="5" t="b">
        <v>0</v>
      </c>
      <c r="U154" s="5" t="s">
        <v>1517</v>
      </c>
      <c r="V154" s="5" t="s">
        <v>1508</v>
      </c>
      <c r="W154" s="5" t="s">
        <v>1508</v>
      </c>
      <c r="X154" s="5" t="s">
        <v>1509</v>
      </c>
      <c r="Z154" s="5">
        <v>2250.0</v>
      </c>
      <c r="AA154" s="5" t="s">
        <v>1556</v>
      </c>
      <c r="AB154" s="5">
        <v>750.0</v>
      </c>
      <c r="AC154" s="5" t="s">
        <v>1510</v>
      </c>
      <c r="AE154" s="5">
        <v>3161.0</v>
      </c>
      <c r="AF154" s="36">
        <v>46112.29732012731</v>
      </c>
    </row>
    <row r="155" ht="22.5" customHeight="1">
      <c r="A155" s="5" t="s">
        <v>1714</v>
      </c>
      <c r="B155" s="5" t="s">
        <v>1506</v>
      </c>
      <c r="C155" s="5" t="s">
        <v>362</v>
      </c>
      <c r="D155" s="5" t="s">
        <v>134</v>
      </c>
      <c r="E155" s="25" t="s">
        <v>363</v>
      </c>
      <c r="F155" s="5" t="s">
        <v>364</v>
      </c>
      <c r="H155" s="35">
        <v>29220.0</v>
      </c>
      <c r="I155" s="5" t="s">
        <v>156</v>
      </c>
      <c r="J155" s="5" t="s">
        <v>17</v>
      </c>
      <c r="K155" s="5" t="b">
        <v>0</v>
      </c>
      <c r="L155" s="5" t="b">
        <v>0</v>
      </c>
      <c r="N155" s="5">
        <v>1500.0</v>
      </c>
      <c r="O155" s="5">
        <v>0.0</v>
      </c>
      <c r="P155" s="5">
        <v>0.0</v>
      </c>
      <c r="R155" s="5" t="b">
        <v>0</v>
      </c>
      <c r="U155" s="5" t="s">
        <v>1517</v>
      </c>
      <c r="V155" s="5" t="s">
        <v>1508</v>
      </c>
      <c r="W155" s="5" t="s">
        <v>1508</v>
      </c>
      <c r="X155" s="5" t="s">
        <v>1509</v>
      </c>
      <c r="Z155" s="5">
        <v>1500.0</v>
      </c>
      <c r="AB155" s="5">
        <v>0.0</v>
      </c>
      <c r="AC155" s="5" t="s">
        <v>1510</v>
      </c>
      <c r="AE155" s="5">
        <v>4132.0</v>
      </c>
      <c r="AF155" s="36">
        <v>46112.2678790625</v>
      </c>
    </row>
    <row r="156" ht="22.5" hidden="1" customHeight="1">
      <c r="A156" s="5" t="s">
        <v>1715</v>
      </c>
      <c r="B156" s="5" t="s">
        <v>1506</v>
      </c>
      <c r="C156" s="5" t="s">
        <v>605</v>
      </c>
      <c r="D156" s="5" t="s">
        <v>14</v>
      </c>
      <c r="E156" s="5">
        <v>9.764827022E9</v>
      </c>
      <c r="F156" s="5" t="s">
        <v>606</v>
      </c>
      <c r="G156" s="5">
        <v>7086603.0</v>
      </c>
      <c r="H156" s="35">
        <v>40183.0</v>
      </c>
      <c r="I156" s="5" t="s">
        <v>156</v>
      </c>
      <c r="J156" s="5" t="s">
        <v>39</v>
      </c>
      <c r="K156" s="5" t="b">
        <v>0</v>
      </c>
      <c r="L156" s="5" t="b">
        <v>0</v>
      </c>
      <c r="N156" s="5">
        <v>3000.0</v>
      </c>
      <c r="O156" s="5">
        <v>0.0</v>
      </c>
      <c r="P156" s="5">
        <v>0.0</v>
      </c>
      <c r="R156" s="5" t="b">
        <v>0</v>
      </c>
      <c r="U156" s="5" t="s">
        <v>1519</v>
      </c>
      <c r="V156" s="5" t="s">
        <v>1508</v>
      </c>
      <c r="W156" s="5" t="s">
        <v>1508</v>
      </c>
      <c r="X156" s="5" t="s">
        <v>1509</v>
      </c>
      <c r="Z156" s="5">
        <v>0.0</v>
      </c>
      <c r="AA156" s="5" t="s">
        <v>779</v>
      </c>
      <c r="AB156" s="5">
        <v>3000.0</v>
      </c>
      <c r="AC156" s="5" t="s">
        <v>1510</v>
      </c>
      <c r="AD156" s="5" t="s">
        <v>1558</v>
      </c>
      <c r="AE156" s="5">
        <v>3160.0</v>
      </c>
      <c r="AF156" s="36">
        <v>46112.256987650464</v>
      </c>
    </row>
    <row r="157" ht="22.5" hidden="1" customHeight="1">
      <c r="A157" s="5" t="s">
        <v>1716</v>
      </c>
      <c r="B157" s="5" t="s">
        <v>1506</v>
      </c>
      <c r="C157" s="5" t="s">
        <v>607</v>
      </c>
      <c r="D157" s="5" t="s">
        <v>14</v>
      </c>
      <c r="E157" s="5">
        <v>9.862617421E9</v>
      </c>
      <c r="F157" s="5" t="s">
        <v>608</v>
      </c>
      <c r="G157" s="5">
        <v>7216181.0</v>
      </c>
      <c r="H157" s="35">
        <v>34765.0</v>
      </c>
      <c r="I157" s="5" t="s">
        <v>156</v>
      </c>
      <c r="J157" s="5" t="s">
        <v>39</v>
      </c>
      <c r="K157" s="5" t="b">
        <v>0</v>
      </c>
      <c r="L157" s="5" t="b">
        <v>0</v>
      </c>
      <c r="N157" s="5">
        <v>3000.0</v>
      </c>
      <c r="O157" s="5">
        <v>0.0</v>
      </c>
      <c r="P157" s="5">
        <v>0.0</v>
      </c>
      <c r="R157" s="5" t="b">
        <v>0</v>
      </c>
      <c r="U157" s="5" t="s">
        <v>1514</v>
      </c>
      <c r="V157" s="5" t="s">
        <v>1508</v>
      </c>
      <c r="W157" s="5" t="s">
        <v>1508</v>
      </c>
      <c r="X157" s="5" t="s">
        <v>1509</v>
      </c>
      <c r="Z157" s="5">
        <v>2250.0</v>
      </c>
      <c r="AA157" s="5" t="s">
        <v>1526</v>
      </c>
      <c r="AB157" s="5">
        <v>750.0</v>
      </c>
      <c r="AC157" s="5" t="s">
        <v>1510</v>
      </c>
      <c r="AE157" s="5">
        <v>3159.0</v>
      </c>
      <c r="AF157" s="36">
        <v>46112.24467685185</v>
      </c>
    </row>
    <row r="158" ht="22.5" hidden="1" customHeight="1">
      <c r="A158" s="5" t="s">
        <v>1717</v>
      </c>
      <c r="B158" s="5" t="s">
        <v>1506</v>
      </c>
      <c r="C158" s="5" t="s">
        <v>609</v>
      </c>
      <c r="D158" s="5" t="s">
        <v>14</v>
      </c>
      <c r="E158" s="5">
        <v>9.810263871E9</v>
      </c>
      <c r="F158" s="5" t="s">
        <v>610</v>
      </c>
      <c r="H158" s="35">
        <v>36976.0</v>
      </c>
      <c r="I158" s="5" t="s">
        <v>156</v>
      </c>
      <c r="J158" s="5" t="s">
        <v>39</v>
      </c>
      <c r="K158" s="5" t="b">
        <v>0</v>
      </c>
      <c r="L158" s="5" t="b">
        <v>0</v>
      </c>
      <c r="N158" s="5">
        <v>3000.0</v>
      </c>
      <c r="O158" s="5">
        <v>0.0</v>
      </c>
      <c r="P158" s="5">
        <v>0.0</v>
      </c>
      <c r="R158" s="5" t="b">
        <v>0</v>
      </c>
      <c r="U158" s="5" t="s">
        <v>1514</v>
      </c>
      <c r="V158" s="5" t="s">
        <v>1508</v>
      </c>
      <c r="W158" s="5" t="s">
        <v>1508</v>
      </c>
      <c r="X158" s="5" t="s">
        <v>1509</v>
      </c>
      <c r="Z158" s="5">
        <v>2250.0</v>
      </c>
      <c r="AA158" s="5" t="s">
        <v>1526</v>
      </c>
      <c r="AB158" s="5">
        <v>750.0</v>
      </c>
      <c r="AC158" s="5" t="s">
        <v>1510</v>
      </c>
      <c r="AE158" s="5">
        <v>3158.0</v>
      </c>
      <c r="AF158" s="36">
        <v>46112.22712590278</v>
      </c>
    </row>
    <row r="159" ht="22.5" customHeight="1">
      <c r="A159" s="5" t="s">
        <v>1718</v>
      </c>
      <c r="B159" s="5" t="s">
        <v>1506</v>
      </c>
      <c r="C159" s="5" t="s">
        <v>219</v>
      </c>
      <c r="D159" s="5" t="s">
        <v>14</v>
      </c>
      <c r="E159" s="5">
        <v>9.866299405E9</v>
      </c>
      <c r="F159" s="5" t="s">
        <v>220</v>
      </c>
      <c r="H159" s="35">
        <v>38850.0</v>
      </c>
      <c r="I159" s="5" t="s">
        <v>156</v>
      </c>
      <c r="J159" s="5" t="s">
        <v>17</v>
      </c>
      <c r="K159" s="5" t="b">
        <v>0</v>
      </c>
      <c r="L159" s="5" t="b">
        <v>0</v>
      </c>
      <c r="N159" s="5">
        <v>1500.0</v>
      </c>
      <c r="O159" s="5">
        <v>0.0</v>
      </c>
      <c r="P159" s="5">
        <v>0.0</v>
      </c>
      <c r="R159" s="5" t="b">
        <v>0</v>
      </c>
      <c r="U159" s="5" t="s">
        <v>1578</v>
      </c>
      <c r="V159" s="5" t="s">
        <v>1508</v>
      </c>
      <c r="W159" s="5" t="s">
        <v>1548</v>
      </c>
      <c r="X159" s="5" t="s">
        <v>1509</v>
      </c>
      <c r="Z159" s="5">
        <v>1125.0</v>
      </c>
      <c r="AA159" s="5" t="s">
        <v>1526</v>
      </c>
      <c r="AB159" s="5">
        <v>375.0</v>
      </c>
      <c r="AC159" s="5" t="s">
        <v>1510</v>
      </c>
      <c r="AE159" s="5">
        <v>4128.0</v>
      </c>
      <c r="AF159" s="36">
        <v>46112.22416695602</v>
      </c>
      <c r="AG159" s="5" t="s">
        <v>1549</v>
      </c>
    </row>
    <row r="160" ht="22.5" customHeight="1">
      <c r="A160" s="5" t="s">
        <v>1719</v>
      </c>
      <c r="B160" s="5" t="s">
        <v>1506</v>
      </c>
      <c r="C160" s="5" t="s">
        <v>221</v>
      </c>
      <c r="D160" s="5" t="s">
        <v>14</v>
      </c>
      <c r="E160" s="25" t="s">
        <v>222</v>
      </c>
      <c r="F160" s="5" t="s">
        <v>223</v>
      </c>
      <c r="H160" s="35">
        <v>32175.0</v>
      </c>
      <c r="I160" s="5" t="s">
        <v>156</v>
      </c>
      <c r="J160" s="5" t="s">
        <v>17</v>
      </c>
      <c r="K160" s="5" t="b">
        <v>0</v>
      </c>
      <c r="L160" s="5" t="b">
        <v>0</v>
      </c>
      <c r="N160" s="5">
        <v>1500.0</v>
      </c>
      <c r="O160" s="5">
        <v>0.0</v>
      </c>
      <c r="P160" s="5">
        <v>0.0</v>
      </c>
      <c r="R160" s="5" t="b">
        <v>0</v>
      </c>
      <c r="U160" s="5" t="s">
        <v>1514</v>
      </c>
      <c r="V160" s="5" t="s">
        <v>1508</v>
      </c>
      <c r="W160" s="5" t="s">
        <v>1508</v>
      </c>
      <c r="X160" s="5" t="s">
        <v>1509</v>
      </c>
      <c r="Z160" s="5">
        <v>1500.0</v>
      </c>
      <c r="AB160" s="5">
        <v>0.0</v>
      </c>
      <c r="AC160" s="5" t="s">
        <v>1510</v>
      </c>
      <c r="AE160" s="5">
        <v>4127.0</v>
      </c>
      <c r="AF160" s="36">
        <v>46112.21844392361</v>
      </c>
    </row>
    <row r="161" ht="22.5" customHeight="1">
      <c r="A161" s="5" t="s">
        <v>1720</v>
      </c>
      <c r="B161" s="5" t="s">
        <v>1506</v>
      </c>
      <c r="C161" s="5" t="s">
        <v>224</v>
      </c>
      <c r="D161" s="5" t="s">
        <v>14</v>
      </c>
      <c r="E161" s="5">
        <v>9.703755265E9</v>
      </c>
      <c r="F161" s="5" t="s">
        <v>225</v>
      </c>
      <c r="H161" s="35">
        <v>29050.0</v>
      </c>
      <c r="I161" s="5" t="s">
        <v>156</v>
      </c>
      <c r="J161" s="5" t="s">
        <v>17</v>
      </c>
      <c r="K161" s="5" t="b">
        <v>0</v>
      </c>
      <c r="L161" s="5" t="b">
        <v>1</v>
      </c>
      <c r="M161" s="5" t="s">
        <v>17</v>
      </c>
      <c r="N161" s="5">
        <v>1500.0</v>
      </c>
      <c r="O161" s="5">
        <v>1500.0</v>
      </c>
      <c r="P161" s="5">
        <v>0.0</v>
      </c>
      <c r="R161" s="5" t="b">
        <v>1</v>
      </c>
      <c r="S161" s="5" t="s">
        <v>1721</v>
      </c>
      <c r="U161" s="5" t="s">
        <v>1517</v>
      </c>
      <c r="V161" s="5" t="s">
        <v>1508</v>
      </c>
      <c r="W161" s="5" t="s">
        <v>1508</v>
      </c>
      <c r="X161" s="5" t="s">
        <v>1509</v>
      </c>
      <c r="Z161" s="5">
        <v>3000.0</v>
      </c>
      <c r="AB161" s="5">
        <v>0.0</v>
      </c>
      <c r="AC161" s="5" t="s">
        <v>1510</v>
      </c>
      <c r="AE161" s="5">
        <v>4126.0</v>
      </c>
      <c r="AF161" s="36">
        <v>46112.21676083333</v>
      </c>
      <c r="AG161" s="5" t="s">
        <v>1722</v>
      </c>
    </row>
    <row r="162" ht="22.5" customHeight="1">
      <c r="A162" s="5" t="s">
        <v>1723</v>
      </c>
      <c r="B162" s="5" t="s">
        <v>1506</v>
      </c>
      <c r="C162" s="5" t="s">
        <v>139</v>
      </c>
      <c r="D162" s="5" t="s">
        <v>140</v>
      </c>
      <c r="E162" s="5">
        <v>9.703755265E9</v>
      </c>
      <c r="F162" s="5" t="s">
        <v>141</v>
      </c>
      <c r="H162" s="35">
        <v>30176.0</v>
      </c>
      <c r="I162" s="5" t="s">
        <v>16</v>
      </c>
      <c r="J162" s="5" t="s">
        <v>17</v>
      </c>
      <c r="K162" s="5" t="b">
        <v>0</v>
      </c>
      <c r="L162" s="5" t="b">
        <v>0</v>
      </c>
      <c r="N162" s="5">
        <v>1500.0</v>
      </c>
      <c r="O162" s="5">
        <v>0.0</v>
      </c>
      <c r="P162" s="5">
        <v>0.0</v>
      </c>
      <c r="R162" s="5" t="b">
        <v>0</v>
      </c>
      <c r="U162" s="5" t="s">
        <v>1507</v>
      </c>
      <c r="V162" s="5" t="s">
        <v>1508</v>
      </c>
      <c r="W162" s="5" t="s">
        <v>1508</v>
      </c>
      <c r="X162" s="5" t="s">
        <v>1509</v>
      </c>
      <c r="Z162" s="5">
        <v>1500.0</v>
      </c>
      <c r="AB162" s="5">
        <v>0.0</v>
      </c>
      <c r="AC162" s="5" t="s">
        <v>1510</v>
      </c>
      <c r="AE162" s="5">
        <v>4125.0</v>
      </c>
      <c r="AF162" s="36">
        <v>46112.21563640046</v>
      </c>
    </row>
    <row r="163" ht="22.5" hidden="1" customHeight="1">
      <c r="A163" s="5" t="s">
        <v>1724</v>
      </c>
      <c r="B163" s="5" t="s">
        <v>1506</v>
      </c>
      <c r="C163" s="5" t="s">
        <v>611</v>
      </c>
      <c r="D163" s="5" t="s">
        <v>14</v>
      </c>
      <c r="E163" s="5">
        <v>9.869758114E9</v>
      </c>
      <c r="F163" s="5" t="s">
        <v>612</v>
      </c>
      <c r="H163" s="35">
        <v>34998.0</v>
      </c>
      <c r="I163" s="5" t="s">
        <v>156</v>
      </c>
      <c r="J163" s="5" t="s">
        <v>39</v>
      </c>
      <c r="K163" s="5" t="b">
        <v>0</v>
      </c>
      <c r="L163" s="5" t="b">
        <v>0</v>
      </c>
      <c r="N163" s="5">
        <v>3000.0</v>
      </c>
      <c r="O163" s="5">
        <v>0.0</v>
      </c>
      <c r="P163" s="5">
        <v>0.0</v>
      </c>
      <c r="R163" s="5" t="b">
        <v>0</v>
      </c>
      <c r="U163" s="5" t="s">
        <v>1514</v>
      </c>
      <c r="V163" s="5" t="s">
        <v>1508</v>
      </c>
      <c r="W163" s="5" t="s">
        <v>1508</v>
      </c>
      <c r="X163" s="5" t="s">
        <v>1509</v>
      </c>
      <c r="Z163" s="5">
        <v>2250.0</v>
      </c>
      <c r="AA163" s="5" t="s">
        <v>1526</v>
      </c>
      <c r="AB163" s="5">
        <v>750.0</v>
      </c>
      <c r="AC163" s="5" t="s">
        <v>1510</v>
      </c>
      <c r="AE163" s="5">
        <v>3157.0</v>
      </c>
      <c r="AF163" s="36">
        <v>46112.211007881946</v>
      </c>
    </row>
    <row r="164" ht="22.5" customHeight="1">
      <c r="A164" s="5" t="s">
        <v>1725</v>
      </c>
      <c r="B164" s="5" t="s">
        <v>1506</v>
      </c>
      <c r="C164" s="5" t="s">
        <v>1726</v>
      </c>
      <c r="D164" s="5" t="s">
        <v>14</v>
      </c>
      <c r="E164" s="5">
        <v>9.818123204E9</v>
      </c>
      <c r="F164" s="5" t="s">
        <v>41</v>
      </c>
      <c r="H164" s="35">
        <v>38410.0</v>
      </c>
      <c r="I164" s="5" t="s">
        <v>16</v>
      </c>
      <c r="J164" s="5" t="s">
        <v>17</v>
      </c>
      <c r="K164" s="5" t="b">
        <v>0</v>
      </c>
      <c r="L164" s="5" t="b">
        <v>0</v>
      </c>
      <c r="N164" s="5">
        <v>1500.0</v>
      </c>
      <c r="O164" s="5">
        <v>0.0</v>
      </c>
      <c r="P164" s="5">
        <v>0.0</v>
      </c>
      <c r="R164" s="5" t="b">
        <v>0</v>
      </c>
      <c r="U164" s="5" t="s">
        <v>1517</v>
      </c>
      <c r="V164" s="5" t="s">
        <v>1508</v>
      </c>
      <c r="W164" s="5" t="s">
        <v>1508</v>
      </c>
      <c r="X164" s="5" t="s">
        <v>1509</v>
      </c>
      <c r="Z164" s="5">
        <v>0.0</v>
      </c>
      <c r="AA164" s="5" t="s">
        <v>779</v>
      </c>
      <c r="AB164" s="5">
        <v>1500.0</v>
      </c>
      <c r="AC164" s="5" t="s">
        <v>1510</v>
      </c>
      <c r="AD164" s="5" t="s">
        <v>1527</v>
      </c>
      <c r="AE164" s="5">
        <v>4133.0</v>
      </c>
      <c r="AF164" s="36">
        <v>46112.20782280093</v>
      </c>
    </row>
    <row r="165" ht="22.5" customHeight="1">
      <c r="A165" s="5" t="s">
        <v>1727</v>
      </c>
      <c r="B165" s="5" t="s">
        <v>1506</v>
      </c>
      <c r="C165" s="5" t="s">
        <v>1728</v>
      </c>
      <c r="D165" s="5" t="s">
        <v>14</v>
      </c>
      <c r="E165" s="5">
        <v>9.761886543E9</v>
      </c>
      <c r="F165" s="5" t="s">
        <v>227</v>
      </c>
      <c r="H165" s="35">
        <v>36576.0</v>
      </c>
      <c r="I165" s="5" t="s">
        <v>156</v>
      </c>
      <c r="J165" s="5" t="s">
        <v>17</v>
      </c>
      <c r="K165" s="5" t="b">
        <v>0</v>
      </c>
      <c r="L165" s="5" t="b">
        <v>0</v>
      </c>
      <c r="N165" s="5">
        <v>1500.0</v>
      </c>
      <c r="O165" s="5">
        <v>0.0</v>
      </c>
      <c r="P165" s="5">
        <v>0.0</v>
      </c>
      <c r="R165" s="5" t="b">
        <v>0</v>
      </c>
      <c r="U165" s="5" t="s">
        <v>1519</v>
      </c>
      <c r="V165" s="5" t="s">
        <v>1508</v>
      </c>
      <c r="W165" s="5" t="s">
        <v>1508</v>
      </c>
      <c r="X165" s="5" t="s">
        <v>1509</v>
      </c>
      <c r="Z165" s="5">
        <v>0.0</v>
      </c>
      <c r="AA165" s="5" t="s">
        <v>779</v>
      </c>
      <c r="AB165" s="5">
        <v>1500.0</v>
      </c>
      <c r="AC165" s="5" t="s">
        <v>1510</v>
      </c>
      <c r="AD165" s="5" t="s">
        <v>1527</v>
      </c>
      <c r="AE165" s="5">
        <v>4131.0</v>
      </c>
      <c r="AF165" s="36">
        <v>46112.20607564815</v>
      </c>
    </row>
    <row r="166" ht="22.5" hidden="1" customHeight="1">
      <c r="A166" s="5" t="s">
        <v>1729</v>
      </c>
      <c r="B166" s="5" t="s">
        <v>1506</v>
      </c>
      <c r="C166" s="5" t="s">
        <v>923</v>
      </c>
      <c r="D166" s="5" t="s">
        <v>366</v>
      </c>
      <c r="E166" s="5">
        <v>9.06456965E9</v>
      </c>
      <c r="F166" s="5" t="s">
        <v>924</v>
      </c>
      <c r="H166" s="35">
        <v>30501.0</v>
      </c>
      <c r="I166" s="5" t="s">
        <v>16</v>
      </c>
      <c r="J166" s="5" t="s">
        <v>42</v>
      </c>
      <c r="K166" s="5" t="b">
        <v>0</v>
      </c>
      <c r="L166" s="5" t="b">
        <v>0</v>
      </c>
      <c r="N166" s="5">
        <v>80.0</v>
      </c>
      <c r="O166" s="5">
        <v>0.0</v>
      </c>
      <c r="P166" s="5">
        <v>0.0</v>
      </c>
      <c r="R166" s="5" t="b">
        <v>0</v>
      </c>
      <c r="U166" s="5" t="s">
        <v>1507</v>
      </c>
      <c r="V166" s="5" t="s">
        <v>1508</v>
      </c>
      <c r="W166" s="5" t="s">
        <v>1548</v>
      </c>
      <c r="X166" s="5" t="s">
        <v>1509</v>
      </c>
      <c r="Z166" s="5">
        <v>0.0</v>
      </c>
      <c r="AA166" s="5" t="s">
        <v>779</v>
      </c>
      <c r="AB166" s="5">
        <v>80.0</v>
      </c>
      <c r="AC166" s="5" t="s">
        <v>1546</v>
      </c>
      <c r="AD166" s="5" t="s">
        <v>1511</v>
      </c>
      <c r="AE166" s="5">
        <v>2120.0</v>
      </c>
      <c r="AF166" s="36">
        <v>46112.201216180554</v>
      </c>
      <c r="AG166" s="5" t="s">
        <v>1549</v>
      </c>
    </row>
    <row r="167" ht="22.5" hidden="1" customHeight="1">
      <c r="A167" s="5" t="s">
        <v>1730</v>
      </c>
      <c r="B167" s="5" t="s">
        <v>1506</v>
      </c>
      <c r="C167" s="5" t="s">
        <v>985</v>
      </c>
      <c r="D167" s="5" t="s">
        <v>14</v>
      </c>
      <c r="E167" s="5">
        <v>9.841496701E9</v>
      </c>
      <c r="F167" s="5" t="s">
        <v>986</v>
      </c>
      <c r="H167" s="35">
        <v>34720.0</v>
      </c>
      <c r="I167" s="5" t="s">
        <v>156</v>
      </c>
      <c r="J167" s="5" t="s">
        <v>42</v>
      </c>
      <c r="K167" s="5" t="b">
        <v>0</v>
      </c>
      <c r="L167" s="5" t="b">
        <v>0</v>
      </c>
      <c r="N167" s="5">
        <v>7500.0</v>
      </c>
      <c r="O167" s="5">
        <v>0.0</v>
      </c>
      <c r="P167" s="5">
        <v>0.0</v>
      </c>
      <c r="R167" s="5" t="b">
        <v>0</v>
      </c>
      <c r="U167" s="5" t="s">
        <v>1517</v>
      </c>
      <c r="V167" s="5" t="s">
        <v>1508</v>
      </c>
      <c r="W167" s="5" t="s">
        <v>1508</v>
      </c>
      <c r="X167" s="5" t="s">
        <v>1509</v>
      </c>
      <c r="Z167" s="5">
        <v>6000.0</v>
      </c>
      <c r="AA167" s="5" t="s">
        <v>1591</v>
      </c>
      <c r="AB167" s="5">
        <v>1500.0</v>
      </c>
      <c r="AC167" s="5" t="s">
        <v>1510</v>
      </c>
      <c r="AE167" s="5">
        <v>2105.0</v>
      </c>
      <c r="AF167" s="36">
        <v>46112.189085405094</v>
      </c>
    </row>
    <row r="168" ht="22.5" customHeight="1">
      <c r="A168" s="5" t="s">
        <v>1731</v>
      </c>
      <c r="B168" s="5" t="s">
        <v>1506</v>
      </c>
      <c r="C168" s="5" t="s">
        <v>136</v>
      </c>
      <c r="D168" s="5" t="s">
        <v>137</v>
      </c>
      <c r="E168" s="5">
        <v>9.709035287E9</v>
      </c>
      <c r="F168" s="5" t="s">
        <v>138</v>
      </c>
      <c r="H168" s="35">
        <v>35285.0</v>
      </c>
      <c r="I168" s="5" t="s">
        <v>16</v>
      </c>
      <c r="J168" s="5" t="s">
        <v>17</v>
      </c>
      <c r="K168" s="5" t="b">
        <v>0</v>
      </c>
      <c r="L168" s="5" t="b">
        <v>0</v>
      </c>
      <c r="N168" s="5">
        <v>10.0</v>
      </c>
      <c r="O168" s="5">
        <v>0.0</v>
      </c>
      <c r="P168" s="5">
        <v>0.0</v>
      </c>
      <c r="R168" s="5" t="b">
        <v>0</v>
      </c>
      <c r="U168" s="5" t="s">
        <v>1517</v>
      </c>
      <c r="V168" s="5" t="s">
        <v>1508</v>
      </c>
      <c r="W168" s="5" t="s">
        <v>1508</v>
      </c>
      <c r="X168" s="5" t="s">
        <v>1509</v>
      </c>
      <c r="Z168" s="5">
        <v>10.0</v>
      </c>
      <c r="AB168" s="5">
        <v>0.0</v>
      </c>
      <c r="AC168" s="5" t="s">
        <v>1546</v>
      </c>
      <c r="AD168" s="5" t="s">
        <v>1511</v>
      </c>
      <c r="AE168" s="5">
        <v>4151.0</v>
      </c>
      <c r="AF168" s="36">
        <v>46112.16615810185</v>
      </c>
    </row>
    <row r="169" ht="22.5" customHeight="1">
      <c r="A169" s="5" t="s">
        <v>1732</v>
      </c>
      <c r="B169" s="5" t="s">
        <v>1506</v>
      </c>
      <c r="C169" s="5" t="s">
        <v>228</v>
      </c>
      <c r="D169" s="5" t="s">
        <v>14</v>
      </c>
      <c r="E169" s="25" t="s">
        <v>229</v>
      </c>
      <c r="F169" s="5" t="s">
        <v>230</v>
      </c>
      <c r="H169" s="35">
        <v>27037.0</v>
      </c>
      <c r="I169" s="5" t="s">
        <v>156</v>
      </c>
      <c r="J169" s="5" t="s">
        <v>17</v>
      </c>
      <c r="K169" s="5" t="b">
        <v>0</v>
      </c>
      <c r="L169" s="5" t="b">
        <v>0</v>
      </c>
      <c r="N169" s="5">
        <v>1500.0</v>
      </c>
      <c r="O169" s="5">
        <v>0.0</v>
      </c>
      <c r="P169" s="5">
        <v>0.0</v>
      </c>
      <c r="R169" s="5" t="b">
        <v>0</v>
      </c>
      <c r="U169" s="5" t="s">
        <v>1517</v>
      </c>
      <c r="V169" s="5" t="s">
        <v>1508</v>
      </c>
      <c r="W169" s="5" t="s">
        <v>1508</v>
      </c>
      <c r="X169" s="5" t="s">
        <v>1509</v>
      </c>
      <c r="Z169" s="5">
        <v>1125.0</v>
      </c>
      <c r="AA169" s="5" t="s">
        <v>699</v>
      </c>
      <c r="AB169" s="5">
        <v>375.0</v>
      </c>
      <c r="AC169" s="5" t="s">
        <v>1510</v>
      </c>
      <c r="AE169" s="5">
        <v>4124.0</v>
      </c>
      <c r="AF169" s="36">
        <v>46112.15704877315</v>
      </c>
    </row>
    <row r="170" ht="22.5" customHeight="1">
      <c r="A170" s="5" t="s">
        <v>1733</v>
      </c>
      <c r="B170" s="5" t="s">
        <v>1506</v>
      </c>
      <c r="C170" s="5" t="s">
        <v>231</v>
      </c>
      <c r="D170" s="5" t="s">
        <v>14</v>
      </c>
      <c r="E170" s="5">
        <v>9.822100035E9</v>
      </c>
      <c r="F170" s="5" t="s">
        <v>232</v>
      </c>
      <c r="H170" s="35">
        <v>38572.0</v>
      </c>
      <c r="I170" s="5" t="s">
        <v>156</v>
      </c>
      <c r="J170" s="5" t="s">
        <v>17</v>
      </c>
      <c r="K170" s="5" t="b">
        <v>0</v>
      </c>
      <c r="L170" s="5" t="b">
        <v>0</v>
      </c>
      <c r="N170" s="5">
        <v>1500.0</v>
      </c>
      <c r="O170" s="5">
        <v>0.0</v>
      </c>
      <c r="P170" s="5">
        <v>0.0</v>
      </c>
      <c r="R170" s="5" t="b">
        <v>0</v>
      </c>
      <c r="U170" s="5" t="s">
        <v>1517</v>
      </c>
      <c r="V170" s="5" t="s">
        <v>1508</v>
      </c>
      <c r="W170" s="5" t="s">
        <v>1508</v>
      </c>
      <c r="X170" s="5" t="s">
        <v>1509</v>
      </c>
      <c r="Z170" s="5">
        <v>1125.0</v>
      </c>
      <c r="AA170" s="5" t="s">
        <v>699</v>
      </c>
      <c r="AB170" s="5">
        <v>375.0</v>
      </c>
      <c r="AC170" s="5" t="s">
        <v>1510</v>
      </c>
      <c r="AE170" s="5">
        <v>4123.0</v>
      </c>
      <c r="AF170" s="36">
        <v>46112.15193409722</v>
      </c>
    </row>
    <row r="171" ht="22.5" hidden="1" customHeight="1">
      <c r="A171" s="5" t="s">
        <v>1734</v>
      </c>
      <c r="B171" s="5" t="s">
        <v>1506</v>
      </c>
      <c r="C171" s="5" t="s">
        <v>613</v>
      </c>
      <c r="D171" s="5" t="s">
        <v>14</v>
      </c>
      <c r="E171" s="5">
        <v>9.860138121E9</v>
      </c>
      <c r="F171" s="5" t="s">
        <v>614</v>
      </c>
      <c r="H171" s="35">
        <v>33215.0</v>
      </c>
      <c r="I171" s="5" t="s">
        <v>156</v>
      </c>
      <c r="J171" s="5" t="s">
        <v>39</v>
      </c>
      <c r="K171" s="5" t="b">
        <v>0</v>
      </c>
      <c r="L171" s="5" t="b">
        <v>0</v>
      </c>
      <c r="N171" s="5">
        <v>3000.0</v>
      </c>
      <c r="O171" s="5">
        <v>0.0</v>
      </c>
      <c r="P171" s="5">
        <v>0.0</v>
      </c>
      <c r="R171" s="5" t="b">
        <v>0</v>
      </c>
      <c r="U171" s="5" t="s">
        <v>1517</v>
      </c>
      <c r="V171" s="5" t="s">
        <v>1508</v>
      </c>
      <c r="W171" s="5" t="s">
        <v>1508</v>
      </c>
      <c r="X171" s="5" t="s">
        <v>1509</v>
      </c>
      <c r="Z171" s="5">
        <v>3000.0</v>
      </c>
      <c r="AB171" s="5">
        <v>0.0</v>
      </c>
      <c r="AC171" s="5" t="s">
        <v>1510</v>
      </c>
      <c r="AE171" s="5">
        <v>3156.0</v>
      </c>
      <c r="AF171" s="36">
        <v>46112.13714064815</v>
      </c>
    </row>
    <row r="172" ht="22.5" customHeight="1">
      <c r="A172" s="5" t="s">
        <v>1735</v>
      </c>
      <c r="B172" s="5" t="s">
        <v>1506</v>
      </c>
      <c r="C172" s="5" t="s">
        <v>43</v>
      </c>
      <c r="D172" s="5" t="s">
        <v>14</v>
      </c>
      <c r="E172" s="25" t="s">
        <v>44</v>
      </c>
      <c r="F172" s="5" t="s">
        <v>45</v>
      </c>
      <c r="H172" s="35">
        <v>36685.0</v>
      </c>
      <c r="I172" s="5" t="s">
        <v>16</v>
      </c>
      <c r="J172" s="5" t="s">
        <v>17</v>
      </c>
      <c r="K172" s="5" t="b">
        <v>0</v>
      </c>
      <c r="L172" s="5" t="b">
        <v>0</v>
      </c>
      <c r="N172" s="5">
        <v>1500.0</v>
      </c>
      <c r="O172" s="5">
        <v>0.0</v>
      </c>
      <c r="P172" s="5">
        <v>0.0</v>
      </c>
      <c r="R172" s="5" t="b">
        <v>0</v>
      </c>
      <c r="U172" s="5" t="s">
        <v>1519</v>
      </c>
      <c r="V172" s="5" t="s">
        <v>1508</v>
      </c>
      <c r="W172" s="5" t="s">
        <v>1508</v>
      </c>
      <c r="X172" s="5" t="s">
        <v>1509</v>
      </c>
      <c r="Z172" s="5">
        <v>1500.0</v>
      </c>
      <c r="AB172" s="5">
        <v>0.0</v>
      </c>
      <c r="AC172" s="5" t="s">
        <v>1510</v>
      </c>
      <c r="AD172" s="5" t="s">
        <v>1558</v>
      </c>
      <c r="AE172" s="5">
        <v>4122.0</v>
      </c>
      <c r="AF172" s="36">
        <v>46112.112461805555</v>
      </c>
    </row>
    <row r="173" ht="22.5" hidden="1" customHeight="1">
      <c r="A173" s="5" t="s">
        <v>1736</v>
      </c>
      <c r="B173" s="5" t="s">
        <v>1506</v>
      </c>
      <c r="C173" s="5" t="s">
        <v>1737</v>
      </c>
      <c r="D173" s="5" t="s">
        <v>478</v>
      </c>
      <c r="E173" s="25" t="s">
        <v>479</v>
      </c>
      <c r="F173" s="5" t="s">
        <v>480</v>
      </c>
      <c r="H173" s="35">
        <v>34551.0</v>
      </c>
      <c r="I173" s="5" t="s">
        <v>16</v>
      </c>
      <c r="J173" s="5" t="s">
        <v>39</v>
      </c>
      <c r="K173" s="5" t="b">
        <v>0</v>
      </c>
      <c r="L173" s="5" t="b">
        <v>0</v>
      </c>
      <c r="N173" s="5">
        <v>3000.0</v>
      </c>
      <c r="O173" s="5">
        <v>0.0</v>
      </c>
      <c r="P173" s="5">
        <v>0.0</v>
      </c>
      <c r="R173" s="5" t="b">
        <v>0</v>
      </c>
      <c r="U173" s="5" t="s">
        <v>1517</v>
      </c>
      <c r="V173" s="5" t="s">
        <v>1508</v>
      </c>
      <c r="W173" s="5" t="s">
        <v>1508</v>
      </c>
      <c r="X173" s="5" t="s">
        <v>1509</v>
      </c>
      <c r="Z173" s="5">
        <v>2400.0</v>
      </c>
      <c r="AA173" s="5" t="s">
        <v>1515</v>
      </c>
      <c r="AB173" s="5">
        <v>600.0</v>
      </c>
      <c r="AC173" s="5" t="s">
        <v>1510</v>
      </c>
      <c r="AD173" s="5" t="s">
        <v>1511</v>
      </c>
      <c r="AE173" s="5">
        <v>3187.0</v>
      </c>
      <c r="AF173" s="36">
        <v>46112.06925883102</v>
      </c>
    </row>
    <row r="174" ht="22.5" hidden="1" customHeight="1">
      <c r="A174" s="5" t="s">
        <v>1738</v>
      </c>
      <c r="B174" s="5" t="s">
        <v>1506</v>
      </c>
      <c r="C174" s="5" t="s">
        <v>1739</v>
      </c>
      <c r="D174" s="5" t="s">
        <v>366</v>
      </c>
      <c r="E174" s="25" t="s">
        <v>1375</v>
      </c>
      <c r="F174" s="5" t="s">
        <v>1376</v>
      </c>
      <c r="G174" s="5">
        <v>7160616.0</v>
      </c>
      <c r="H174" s="35">
        <v>35398.0</v>
      </c>
      <c r="I174" s="5" t="s">
        <v>16</v>
      </c>
      <c r="J174" s="5" t="s">
        <v>46</v>
      </c>
      <c r="K174" s="5" t="b">
        <v>0</v>
      </c>
      <c r="L174" s="5" t="b">
        <v>0</v>
      </c>
      <c r="N174" s="5">
        <v>120.0</v>
      </c>
      <c r="O174" s="5">
        <v>0.0</v>
      </c>
      <c r="P174" s="5">
        <v>0.0</v>
      </c>
      <c r="R174" s="5" t="b">
        <v>0</v>
      </c>
      <c r="U174" s="5" t="s">
        <v>1517</v>
      </c>
      <c r="V174" s="5" t="s">
        <v>1508</v>
      </c>
      <c r="W174" s="5" t="s">
        <v>1508</v>
      </c>
      <c r="X174" s="5" t="s">
        <v>1509</v>
      </c>
      <c r="Z174" s="5">
        <v>90.0</v>
      </c>
      <c r="AA174" s="5" t="s">
        <v>1649</v>
      </c>
      <c r="AB174" s="5">
        <v>30.0</v>
      </c>
      <c r="AC174" s="5" t="s">
        <v>1546</v>
      </c>
      <c r="AD174" s="5" t="s">
        <v>1511</v>
      </c>
      <c r="AE174" s="5">
        <v>1538.0</v>
      </c>
      <c r="AF174" s="36">
        <v>46112.06324005787</v>
      </c>
    </row>
    <row r="175" ht="22.5" hidden="1" customHeight="1">
      <c r="A175" s="5" t="s">
        <v>1740</v>
      </c>
      <c r="B175" s="5" t="s">
        <v>1506</v>
      </c>
      <c r="C175" s="5" t="s">
        <v>615</v>
      </c>
      <c r="D175" s="5" t="s">
        <v>14</v>
      </c>
      <c r="E175" s="5">
        <v>9.808245674E9</v>
      </c>
      <c r="F175" s="5" t="s">
        <v>616</v>
      </c>
      <c r="H175" s="35">
        <v>32456.0</v>
      </c>
      <c r="I175" s="5" t="s">
        <v>156</v>
      </c>
      <c r="J175" s="5" t="s">
        <v>39</v>
      </c>
      <c r="K175" s="5" t="b">
        <v>0</v>
      </c>
      <c r="L175" s="5" t="b">
        <v>0</v>
      </c>
      <c r="N175" s="5">
        <v>3000.0</v>
      </c>
      <c r="O175" s="5">
        <v>0.0</v>
      </c>
      <c r="P175" s="5">
        <v>0.0</v>
      </c>
      <c r="R175" s="5" t="b">
        <v>0</v>
      </c>
      <c r="U175" s="5" t="s">
        <v>1517</v>
      </c>
      <c r="V175" s="5" t="s">
        <v>1508</v>
      </c>
      <c r="W175" s="5" t="s">
        <v>1508</v>
      </c>
      <c r="X175" s="5" t="s">
        <v>1509</v>
      </c>
      <c r="Z175" s="5">
        <v>2250.0</v>
      </c>
      <c r="AA175" s="5" t="s">
        <v>1526</v>
      </c>
      <c r="AB175" s="5">
        <v>750.0</v>
      </c>
      <c r="AC175" s="5" t="s">
        <v>1510</v>
      </c>
      <c r="AE175" s="5">
        <v>3155.0</v>
      </c>
      <c r="AF175" s="36">
        <v>46111.69536893519</v>
      </c>
    </row>
    <row r="176" ht="22.5" hidden="1" customHeight="1">
      <c r="A176" s="5" t="s">
        <v>1741</v>
      </c>
      <c r="B176" s="5" t="s">
        <v>1506</v>
      </c>
      <c r="C176" s="5" t="s">
        <v>617</v>
      </c>
      <c r="D176" s="5" t="s">
        <v>14</v>
      </c>
      <c r="E176" s="5">
        <v>9.847359359E9</v>
      </c>
      <c r="F176" s="5" t="s">
        <v>618</v>
      </c>
      <c r="H176" s="35">
        <v>38205.0</v>
      </c>
      <c r="I176" s="5" t="s">
        <v>156</v>
      </c>
      <c r="J176" s="5" t="s">
        <v>39</v>
      </c>
      <c r="K176" s="5" t="b">
        <v>0</v>
      </c>
      <c r="L176" s="5" t="b">
        <v>0</v>
      </c>
      <c r="N176" s="5">
        <v>3000.0</v>
      </c>
      <c r="O176" s="5">
        <v>0.0</v>
      </c>
      <c r="P176" s="5">
        <v>0.0</v>
      </c>
      <c r="R176" s="5" t="b">
        <v>0</v>
      </c>
      <c r="U176" s="5" t="s">
        <v>1519</v>
      </c>
      <c r="V176" s="5" t="s">
        <v>1508</v>
      </c>
      <c r="W176" s="5" t="s">
        <v>1508</v>
      </c>
      <c r="X176" s="5" t="s">
        <v>1509</v>
      </c>
      <c r="Z176" s="5">
        <v>3000.0</v>
      </c>
      <c r="AB176" s="5">
        <v>0.0</v>
      </c>
      <c r="AC176" s="5" t="s">
        <v>1510</v>
      </c>
      <c r="AE176" s="5">
        <v>3195.0</v>
      </c>
      <c r="AF176" s="36">
        <v>46111.689941296296</v>
      </c>
      <c r="AG176" s="5" t="s">
        <v>1742</v>
      </c>
    </row>
    <row r="177" ht="22.5" customHeight="1">
      <c r="A177" s="5" t="s">
        <v>1743</v>
      </c>
      <c r="B177" s="5" t="s">
        <v>1506</v>
      </c>
      <c r="C177" s="5" t="s">
        <v>47</v>
      </c>
      <c r="D177" s="5" t="s">
        <v>14</v>
      </c>
      <c r="E177" s="25" t="s">
        <v>48</v>
      </c>
      <c r="F177" s="5" t="s">
        <v>49</v>
      </c>
      <c r="H177" s="35">
        <v>31605.0</v>
      </c>
      <c r="I177" s="5" t="s">
        <v>16</v>
      </c>
      <c r="J177" s="5" t="s">
        <v>17</v>
      </c>
      <c r="K177" s="5" t="b">
        <v>0</v>
      </c>
      <c r="L177" s="5" t="b">
        <v>0</v>
      </c>
      <c r="N177" s="5">
        <v>1500.0</v>
      </c>
      <c r="O177" s="5">
        <v>0.0</v>
      </c>
      <c r="P177" s="5">
        <v>0.0</v>
      </c>
      <c r="R177" s="5" t="b">
        <v>0</v>
      </c>
      <c r="U177" s="5" t="s">
        <v>1507</v>
      </c>
      <c r="V177" s="5" t="s">
        <v>1508</v>
      </c>
      <c r="W177" s="5" t="s">
        <v>1548</v>
      </c>
      <c r="X177" s="5" t="s">
        <v>1509</v>
      </c>
      <c r="Z177" s="5">
        <v>1125.0</v>
      </c>
      <c r="AA177" s="5" t="s">
        <v>1526</v>
      </c>
      <c r="AB177" s="5">
        <v>375.0</v>
      </c>
      <c r="AC177" s="5" t="s">
        <v>1510</v>
      </c>
      <c r="AE177" s="5">
        <v>4121.0</v>
      </c>
      <c r="AF177" s="36">
        <v>46111.686811817126</v>
      </c>
      <c r="AG177" s="5" t="s">
        <v>1549</v>
      </c>
    </row>
    <row r="178" ht="22.5" hidden="1" customHeight="1">
      <c r="A178" s="5" t="s">
        <v>1744</v>
      </c>
      <c r="B178" s="5" t="s">
        <v>1506</v>
      </c>
      <c r="C178" s="5" t="s">
        <v>1154</v>
      </c>
      <c r="D178" s="5" t="s">
        <v>151</v>
      </c>
      <c r="E178" s="5">
        <v>9.803607349E9</v>
      </c>
      <c r="F178" s="5" t="s">
        <v>1156</v>
      </c>
      <c r="H178" s="35">
        <v>33504.0</v>
      </c>
      <c r="I178" s="5" t="s">
        <v>156</v>
      </c>
      <c r="J178" s="5" t="s">
        <v>42</v>
      </c>
      <c r="K178" s="5" t="b">
        <v>0</v>
      </c>
      <c r="L178" s="5" t="b">
        <v>0</v>
      </c>
      <c r="N178" s="5">
        <v>7500.0</v>
      </c>
      <c r="O178" s="5">
        <v>0.0</v>
      </c>
      <c r="P178" s="5">
        <v>0.0</v>
      </c>
      <c r="R178" s="5" t="b">
        <v>0</v>
      </c>
      <c r="U178" s="5" t="s">
        <v>1514</v>
      </c>
      <c r="V178" s="5" t="s">
        <v>1508</v>
      </c>
      <c r="W178" s="5" t="s">
        <v>1508</v>
      </c>
      <c r="X178" s="5" t="s">
        <v>1509</v>
      </c>
      <c r="Z178" s="5">
        <v>7500.0</v>
      </c>
      <c r="AB178" s="5">
        <v>0.0</v>
      </c>
      <c r="AC178" s="5" t="s">
        <v>1510</v>
      </c>
      <c r="AE178" s="5">
        <v>2106.0</v>
      </c>
      <c r="AF178" s="36">
        <v>46111.684322719906</v>
      </c>
    </row>
    <row r="179" ht="22.5" hidden="1" customHeight="1">
      <c r="A179" s="5" t="s">
        <v>1745</v>
      </c>
      <c r="B179" s="5" t="s">
        <v>1506</v>
      </c>
      <c r="C179" s="5" t="s">
        <v>619</v>
      </c>
      <c r="D179" s="5" t="s">
        <v>14</v>
      </c>
      <c r="E179" s="5">
        <v>9.803993223E9</v>
      </c>
      <c r="F179" s="5" t="s">
        <v>620</v>
      </c>
      <c r="H179" s="35">
        <v>34617.0</v>
      </c>
      <c r="I179" s="5" t="s">
        <v>156</v>
      </c>
      <c r="J179" s="5" t="s">
        <v>39</v>
      </c>
      <c r="K179" s="5" t="b">
        <v>0</v>
      </c>
      <c r="L179" s="5" t="b">
        <v>0</v>
      </c>
      <c r="N179" s="5">
        <v>3000.0</v>
      </c>
      <c r="O179" s="5">
        <v>0.0</v>
      </c>
      <c r="P179" s="5">
        <v>0.0</v>
      </c>
      <c r="R179" s="5" t="b">
        <v>0</v>
      </c>
      <c r="U179" s="5" t="s">
        <v>1517</v>
      </c>
      <c r="V179" s="5" t="s">
        <v>1508</v>
      </c>
      <c r="W179" s="5" t="s">
        <v>1508</v>
      </c>
      <c r="X179" s="5" t="s">
        <v>1509</v>
      </c>
      <c r="Z179" s="5">
        <v>2250.0</v>
      </c>
      <c r="AA179" s="5" t="s">
        <v>699</v>
      </c>
      <c r="AB179" s="5">
        <v>750.0</v>
      </c>
      <c r="AC179" s="5" t="s">
        <v>1510</v>
      </c>
      <c r="AE179" s="5">
        <v>3154.0</v>
      </c>
      <c r="AF179" s="36">
        <v>46111.67694049769</v>
      </c>
    </row>
    <row r="180" ht="22.5" hidden="1" customHeight="1">
      <c r="A180" s="5" t="s">
        <v>1746</v>
      </c>
      <c r="B180" s="5" t="s">
        <v>1506</v>
      </c>
      <c r="C180" s="5" t="s">
        <v>621</v>
      </c>
      <c r="D180" s="5" t="s">
        <v>14</v>
      </c>
      <c r="E180" s="5">
        <v>9.81611977E9</v>
      </c>
      <c r="F180" s="5" t="s">
        <v>622</v>
      </c>
      <c r="H180" s="35">
        <v>36736.0</v>
      </c>
      <c r="I180" s="5" t="s">
        <v>156</v>
      </c>
      <c r="J180" s="5" t="s">
        <v>39</v>
      </c>
      <c r="K180" s="5" t="b">
        <v>0</v>
      </c>
      <c r="L180" s="5" t="b">
        <v>0</v>
      </c>
      <c r="N180" s="5">
        <v>3000.0</v>
      </c>
      <c r="O180" s="5">
        <v>0.0</v>
      </c>
      <c r="P180" s="5">
        <v>0.0</v>
      </c>
      <c r="R180" s="5" t="b">
        <v>0</v>
      </c>
      <c r="U180" s="5" t="s">
        <v>1519</v>
      </c>
      <c r="V180" s="5" t="s">
        <v>1508</v>
      </c>
      <c r="W180" s="5" t="s">
        <v>1508</v>
      </c>
      <c r="X180" s="5" t="s">
        <v>1509</v>
      </c>
      <c r="Z180" s="5">
        <v>3000.0</v>
      </c>
      <c r="AB180" s="5">
        <v>0.0</v>
      </c>
      <c r="AC180" s="5" t="s">
        <v>1510</v>
      </c>
      <c r="AE180" s="5">
        <v>3153.0</v>
      </c>
      <c r="AF180" s="36">
        <v>46111.655731238425</v>
      </c>
    </row>
    <row r="181" ht="22.5" hidden="1" customHeight="1">
      <c r="A181" s="5" t="s">
        <v>1747</v>
      </c>
      <c r="B181" s="5" t="s">
        <v>1506</v>
      </c>
      <c r="C181" s="5" t="s">
        <v>1748</v>
      </c>
      <c r="D181" s="5" t="s">
        <v>137</v>
      </c>
      <c r="E181" s="5">
        <v>9.810072983E9</v>
      </c>
      <c r="F181" s="5" t="s">
        <v>482</v>
      </c>
      <c r="H181" s="35">
        <v>34736.0</v>
      </c>
      <c r="I181" s="5" t="s">
        <v>16</v>
      </c>
      <c r="J181" s="5" t="s">
        <v>39</v>
      </c>
      <c r="K181" s="5" t="b">
        <v>0</v>
      </c>
      <c r="L181" s="5" t="b">
        <v>0</v>
      </c>
      <c r="N181" s="5">
        <v>3000.0</v>
      </c>
      <c r="O181" s="5">
        <v>0.0</v>
      </c>
      <c r="P181" s="5">
        <v>0.0</v>
      </c>
      <c r="R181" s="5" t="b">
        <v>0</v>
      </c>
      <c r="U181" s="5" t="s">
        <v>1517</v>
      </c>
      <c r="V181" s="5" t="s">
        <v>1508</v>
      </c>
      <c r="W181" s="5" t="s">
        <v>1508</v>
      </c>
      <c r="X181" s="5" t="s">
        <v>1509</v>
      </c>
      <c r="Z181" s="5">
        <v>2250.0</v>
      </c>
      <c r="AA181" s="5" t="s">
        <v>1526</v>
      </c>
      <c r="AB181" s="5">
        <v>750.0</v>
      </c>
      <c r="AC181" s="5" t="s">
        <v>1510</v>
      </c>
      <c r="AE181" s="5">
        <v>3152.0</v>
      </c>
      <c r="AF181" s="36">
        <v>46111.65512174769</v>
      </c>
    </row>
    <row r="182" ht="22.5" customHeight="1">
      <c r="A182" s="5" t="s">
        <v>1749</v>
      </c>
      <c r="B182" s="5" t="s">
        <v>1506</v>
      </c>
      <c r="C182" s="5" t="s">
        <v>233</v>
      </c>
      <c r="D182" s="5" t="s">
        <v>14</v>
      </c>
      <c r="E182" s="5">
        <v>9.843516421E9</v>
      </c>
      <c r="F182" s="5" t="s">
        <v>234</v>
      </c>
      <c r="H182" s="35">
        <v>35634.0</v>
      </c>
      <c r="I182" s="5" t="s">
        <v>156</v>
      </c>
      <c r="J182" s="5" t="s">
        <v>17</v>
      </c>
      <c r="K182" s="5" t="b">
        <v>0</v>
      </c>
      <c r="L182" s="5" t="b">
        <v>0</v>
      </c>
      <c r="N182" s="5">
        <v>1500.0</v>
      </c>
      <c r="O182" s="5">
        <v>0.0</v>
      </c>
      <c r="P182" s="5">
        <v>0.0</v>
      </c>
      <c r="R182" s="5" t="b">
        <v>0</v>
      </c>
      <c r="U182" s="5" t="s">
        <v>1514</v>
      </c>
      <c r="V182" s="5" t="s">
        <v>1508</v>
      </c>
      <c r="W182" s="5" t="s">
        <v>1508</v>
      </c>
      <c r="X182" s="5" t="s">
        <v>1509</v>
      </c>
      <c r="Z182" s="5">
        <v>1500.0</v>
      </c>
      <c r="AB182" s="5">
        <v>0.0</v>
      </c>
      <c r="AC182" s="5" t="s">
        <v>1510</v>
      </c>
      <c r="AE182" s="5">
        <v>4116.0</v>
      </c>
      <c r="AF182" s="36">
        <v>46111.65393113426</v>
      </c>
    </row>
    <row r="183" ht="22.5" customHeight="1">
      <c r="A183" s="5" t="s">
        <v>1750</v>
      </c>
      <c r="B183" s="5" t="s">
        <v>1506</v>
      </c>
      <c r="C183" s="5" t="s">
        <v>235</v>
      </c>
      <c r="D183" s="5" t="s">
        <v>14</v>
      </c>
      <c r="E183" s="5">
        <v>9.761116107E9</v>
      </c>
      <c r="F183" s="5" t="s">
        <v>236</v>
      </c>
      <c r="H183" s="35">
        <v>39634.0</v>
      </c>
      <c r="I183" s="5" t="s">
        <v>156</v>
      </c>
      <c r="J183" s="5" t="s">
        <v>17</v>
      </c>
      <c r="K183" s="5" t="b">
        <v>0</v>
      </c>
      <c r="L183" s="5" t="b">
        <v>0</v>
      </c>
      <c r="N183" s="5">
        <v>1500.0</v>
      </c>
      <c r="O183" s="5">
        <v>0.0</v>
      </c>
      <c r="P183" s="5">
        <v>0.0</v>
      </c>
      <c r="R183" s="5" t="b">
        <v>0</v>
      </c>
      <c r="U183" s="5" t="s">
        <v>1519</v>
      </c>
      <c r="V183" s="5" t="s">
        <v>1508</v>
      </c>
      <c r="W183" s="5" t="s">
        <v>1508</v>
      </c>
      <c r="X183" s="5" t="s">
        <v>1509</v>
      </c>
      <c r="Z183" s="5">
        <v>1125.0</v>
      </c>
      <c r="AA183" s="5" t="s">
        <v>699</v>
      </c>
      <c r="AB183" s="5">
        <v>375.0</v>
      </c>
      <c r="AC183" s="5" t="s">
        <v>1510</v>
      </c>
      <c r="AE183" s="5">
        <v>4115.0</v>
      </c>
      <c r="AF183" s="36">
        <v>46111.63032664352</v>
      </c>
    </row>
    <row r="184" ht="22.5" customHeight="1">
      <c r="A184" s="5" t="s">
        <v>1751</v>
      </c>
      <c r="B184" s="5" t="s">
        <v>1506</v>
      </c>
      <c r="C184" s="5" t="s">
        <v>133</v>
      </c>
      <c r="D184" s="5" t="s">
        <v>134</v>
      </c>
      <c r="E184" s="5">
        <v>9.808974732E9</v>
      </c>
      <c r="F184" s="5" t="s">
        <v>135</v>
      </c>
      <c r="H184" s="35">
        <v>27978.0</v>
      </c>
      <c r="I184" s="5" t="s">
        <v>16</v>
      </c>
      <c r="J184" s="5" t="s">
        <v>17</v>
      </c>
      <c r="K184" s="5" t="b">
        <v>0</v>
      </c>
      <c r="L184" s="5" t="b">
        <v>0</v>
      </c>
      <c r="N184" s="5">
        <v>1500.0</v>
      </c>
      <c r="O184" s="5">
        <v>0.0</v>
      </c>
      <c r="P184" s="5">
        <v>0.0</v>
      </c>
      <c r="R184" s="5" t="b">
        <v>0</v>
      </c>
      <c r="U184" s="5" t="s">
        <v>1507</v>
      </c>
      <c r="V184" s="5" t="s">
        <v>1508</v>
      </c>
      <c r="W184" s="5" t="s">
        <v>1508</v>
      </c>
      <c r="X184" s="5" t="s">
        <v>1509</v>
      </c>
      <c r="Z184" s="5">
        <v>1500.0</v>
      </c>
      <c r="AB184" s="5">
        <v>0.0</v>
      </c>
      <c r="AC184" s="5" t="s">
        <v>1510</v>
      </c>
      <c r="AE184" s="5">
        <v>4114.0</v>
      </c>
      <c r="AF184" s="36">
        <v>46111.621122592594</v>
      </c>
    </row>
    <row r="185" ht="22.5" hidden="1" customHeight="1">
      <c r="A185" s="5" t="s">
        <v>1752</v>
      </c>
      <c r="B185" s="5" t="s">
        <v>1506</v>
      </c>
      <c r="C185" s="5" t="s">
        <v>987</v>
      </c>
      <c r="D185" s="5" t="s">
        <v>14</v>
      </c>
      <c r="E185" s="5">
        <v>9.81021694E9</v>
      </c>
      <c r="F185" s="5" t="s">
        <v>988</v>
      </c>
      <c r="H185" s="35">
        <v>35115.0</v>
      </c>
      <c r="I185" s="5" t="s">
        <v>156</v>
      </c>
      <c r="J185" s="5" t="s">
        <v>42</v>
      </c>
      <c r="K185" s="5" t="b">
        <v>0</v>
      </c>
      <c r="L185" s="5" t="b">
        <v>0</v>
      </c>
      <c r="N185" s="5">
        <v>7500.0</v>
      </c>
      <c r="O185" s="5">
        <v>0.0</v>
      </c>
      <c r="P185" s="5">
        <v>0.0</v>
      </c>
      <c r="R185" s="5" t="b">
        <v>0</v>
      </c>
      <c r="U185" s="5" t="s">
        <v>1519</v>
      </c>
      <c r="V185" s="5" t="s">
        <v>1508</v>
      </c>
      <c r="W185" s="5" t="s">
        <v>1508</v>
      </c>
      <c r="X185" s="5" t="s">
        <v>1509</v>
      </c>
      <c r="Z185" s="5">
        <v>7500.0</v>
      </c>
      <c r="AB185" s="5">
        <v>0.0</v>
      </c>
      <c r="AC185" s="5" t="s">
        <v>1510</v>
      </c>
      <c r="AD185" s="5" t="s">
        <v>1558</v>
      </c>
      <c r="AE185" s="5">
        <v>2132.0</v>
      </c>
      <c r="AF185" s="36">
        <v>46111.606836875</v>
      </c>
    </row>
    <row r="186" ht="22.5" hidden="1" customHeight="1">
      <c r="A186" s="5" t="s">
        <v>1753</v>
      </c>
      <c r="B186" s="5" t="s">
        <v>1506</v>
      </c>
      <c r="C186" s="5" t="s">
        <v>1180</v>
      </c>
      <c r="D186" s="5" t="s">
        <v>14</v>
      </c>
      <c r="E186" s="25" t="s">
        <v>1181</v>
      </c>
      <c r="F186" s="5" t="s">
        <v>1182</v>
      </c>
      <c r="H186" s="35">
        <v>36970.0</v>
      </c>
      <c r="I186" s="5" t="s">
        <v>16</v>
      </c>
      <c r="J186" s="5" t="s">
        <v>42</v>
      </c>
      <c r="K186" s="5" t="b">
        <v>0</v>
      </c>
      <c r="L186" s="5" t="b">
        <v>0</v>
      </c>
      <c r="N186" s="5">
        <v>7500.0</v>
      </c>
      <c r="O186" s="5">
        <v>0.0</v>
      </c>
      <c r="P186" s="5">
        <v>0.0</v>
      </c>
      <c r="R186" s="5" t="b">
        <v>0</v>
      </c>
      <c r="U186" s="5" t="s">
        <v>1507</v>
      </c>
      <c r="V186" s="5" t="s">
        <v>1508</v>
      </c>
      <c r="W186" s="5" t="s">
        <v>1508</v>
      </c>
      <c r="X186" s="5" t="s">
        <v>1509</v>
      </c>
      <c r="Z186" s="5">
        <v>5625.0</v>
      </c>
      <c r="AA186" s="5" t="s">
        <v>1526</v>
      </c>
      <c r="AB186" s="5">
        <v>1875.0</v>
      </c>
      <c r="AC186" s="5" t="s">
        <v>1510</v>
      </c>
      <c r="AE186" s="5">
        <v>2099.0</v>
      </c>
      <c r="AF186" s="36">
        <v>46111.601931481484</v>
      </c>
    </row>
    <row r="187" ht="22.5" hidden="1" customHeight="1">
      <c r="A187" s="5" t="s">
        <v>1754</v>
      </c>
      <c r="B187" s="5" t="s">
        <v>1506</v>
      </c>
      <c r="C187" s="5" t="s">
        <v>623</v>
      </c>
      <c r="D187" s="5" t="s">
        <v>14</v>
      </c>
      <c r="E187" s="5">
        <v>9.841312601E9</v>
      </c>
      <c r="F187" s="5" t="s">
        <v>624</v>
      </c>
      <c r="H187" s="35">
        <v>31324.0</v>
      </c>
      <c r="I187" s="5" t="s">
        <v>156</v>
      </c>
      <c r="J187" s="5" t="s">
        <v>39</v>
      </c>
      <c r="K187" s="5" t="b">
        <v>0</v>
      </c>
      <c r="L187" s="5" t="b">
        <v>0</v>
      </c>
      <c r="N187" s="5">
        <v>3000.0</v>
      </c>
      <c r="O187" s="5">
        <v>0.0</v>
      </c>
      <c r="P187" s="5">
        <v>0.0</v>
      </c>
      <c r="R187" s="5" t="b">
        <v>0</v>
      </c>
      <c r="U187" s="5" t="s">
        <v>1578</v>
      </c>
      <c r="V187" s="5" t="s">
        <v>1508</v>
      </c>
      <c r="W187" s="5" t="s">
        <v>1548</v>
      </c>
      <c r="X187" s="5" t="s">
        <v>1509</v>
      </c>
      <c r="Z187" s="5">
        <v>2250.0</v>
      </c>
      <c r="AA187" s="5" t="s">
        <v>955</v>
      </c>
      <c r="AB187" s="5">
        <v>750.0</v>
      </c>
      <c r="AC187" s="5" t="s">
        <v>1510</v>
      </c>
      <c r="AE187" s="5">
        <v>3151.0</v>
      </c>
      <c r="AF187" s="36">
        <v>46111.60126099537</v>
      </c>
      <c r="AG187" s="5" t="s">
        <v>1549</v>
      </c>
    </row>
    <row r="188" ht="22.5" hidden="1" customHeight="1">
      <c r="A188" s="5" t="s">
        <v>1755</v>
      </c>
      <c r="B188" s="5" t="s">
        <v>1506</v>
      </c>
      <c r="C188" s="5" t="s">
        <v>625</v>
      </c>
      <c r="D188" s="5" t="s">
        <v>14</v>
      </c>
      <c r="E188" s="25" t="s">
        <v>626</v>
      </c>
      <c r="F188" s="5" t="s">
        <v>627</v>
      </c>
      <c r="H188" s="35">
        <v>35075.0</v>
      </c>
      <c r="I188" s="5" t="s">
        <v>156</v>
      </c>
      <c r="J188" s="5" t="s">
        <v>39</v>
      </c>
      <c r="K188" s="5" t="b">
        <v>0</v>
      </c>
      <c r="L188" s="5" t="b">
        <v>0</v>
      </c>
      <c r="N188" s="5">
        <v>3000.0</v>
      </c>
      <c r="O188" s="5">
        <v>0.0</v>
      </c>
      <c r="P188" s="5">
        <v>0.0</v>
      </c>
      <c r="R188" s="5" t="b">
        <v>0</v>
      </c>
      <c r="U188" s="5" t="s">
        <v>1514</v>
      </c>
      <c r="V188" s="5" t="s">
        <v>1508</v>
      </c>
      <c r="W188" s="5" t="s">
        <v>1508</v>
      </c>
      <c r="X188" s="5" t="s">
        <v>1509</v>
      </c>
      <c r="Z188" s="5">
        <v>3000.0</v>
      </c>
      <c r="AB188" s="5">
        <v>0.0</v>
      </c>
      <c r="AC188" s="5" t="s">
        <v>1510</v>
      </c>
      <c r="AE188" s="5">
        <v>3150.0</v>
      </c>
      <c r="AF188" s="36">
        <v>46111.57883013889</v>
      </c>
    </row>
    <row r="189" ht="22.5" customHeight="1">
      <c r="A189" s="5" t="s">
        <v>1756</v>
      </c>
      <c r="B189" s="5" t="s">
        <v>1506</v>
      </c>
      <c r="C189" s="5" t="s">
        <v>237</v>
      </c>
      <c r="D189" s="5" t="s">
        <v>14</v>
      </c>
      <c r="E189" s="5">
        <v>9.860016834E9</v>
      </c>
      <c r="F189" s="5" t="s">
        <v>238</v>
      </c>
      <c r="H189" s="35">
        <v>33732.0</v>
      </c>
      <c r="I189" s="5" t="s">
        <v>156</v>
      </c>
      <c r="J189" s="5" t="s">
        <v>17</v>
      </c>
      <c r="K189" s="5" t="b">
        <v>0</v>
      </c>
      <c r="L189" s="5" t="b">
        <v>0</v>
      </c>
      <c r="N189" s="5">
        <v>1500.0</v>
      </c>
      <c r="O189" s="5">
        <v>0.0</v>
      </c>
      <c r="P189" s="5">
        <v>0.0</v>
      </c>
      <c r="R189" s="5" t="b">
        <v>0</v>
      </c>
      <c r="U189" s="5" t="s">
        <v>1517</v>
      </c>
      <c r="V189" s="5" t="s">
        <v>1508</v>
      </c>
      <c r="W189" s="5" t="s">
        <v>1508</v>
      </c>
      <c r="X189" s="5" t="s">
        <v>1509</v>
      </c>
      <c r="Z189" s="5">
        <v>1500.0</v>
      </c>
      <c r="AB189" s="5">
        <v>0.0</v>
      </c>
      <c r="AC189" s="5" t="s">
        <v>1510</v>
      </c>
      <c r="AE189" s="5">
        <v>4113.0</v>
      </c>
      <c r="AF189" s="36">
        <v>46111.574193078704</v>
      </c>
    </row>
    <row r="190" ht="22.5" customHeight="1">
      <c r="A190" s="5" t="s">
        <v>1757</v>
      </c>
      <c r="B190" s="5" t="s">
        <v>1506</v>
      </c>
      <c r="C190" s="5" t="s">
        <v>50</v>
      </c>
      <c r="D190" s="5" t="s">
        <v>14</v>
      </c>
      <c r="E190" s="25" t="s">
        <v>51</v>
      </c>
      <c r="F190" s="5" t="s">
        <v>52</v>
      </c>
      <c r="H190" s="35">
        <v>37212.0</v>
      </c>
      <c r="I190" s="5" t="s">
        <v>16</v>
      </c>
      <c r="J190" s="5" t="s">
        <v>17</v>
      </c>
      <c r="K190" s="5" t="b">
        <v>0</v>
      </c>
      <c r="L190" s="5" t="b">
        <v>0</v>
      </c>
      <c r="N190" s="5">
        <v>1500.0</v>
      </c>
      <c r="O190" s="5">
        <v>0.0</v>
      </c>
      <c r="P190" s="5">
        <v>0.0</v>
      </c>
      <c r="R190" s="5" t="b">
        <v>0</v>
      </c>
      <c r="U190" s="5" t="s">
        <v>1507</v>
      </c>
      <c r="V190" s="5" t="s">
        <v>1508</v>
      </c>
      <c r="W190" s="5" t="s">
        <v>1508</v>
      </c>
      <c r="X190" s="5" t="s">
        <v>1509</v>
      </c>
      <c r="Z190" s="5">
        <v>1125.0</v>
      </c>
      <c r="AA190" s="5" t="s">
        <v>1526</v>
      </c>
      <c r="AB190" s="5">
        <v>375.0</v>
      </c>
      <c r="AC190" s="5" t="s">
        <v>1510</v>
      </c>
      <c r="AE190" s="5">
        <v>4112.0</v>
      </c>
      <c r="AF190" s="36">
        <v>46111.55384247685</v>
      </c>
    </row>
    <row r="191" ht="22.5" hidden="1" customHeight="1">
      <c r="A191" s="5" t="s">
        <v>1758</v>
      </c>
      <c r="B191" s="5" t="s">
        <v>1506</v>
      </c>
      <c r="C191" s="5" t="s">
        <v>628</v>
      </c>
      <c r="D191" s="5" t="s">
        <v>14</v>
      </c>
      <c r="E191" s="5">
        <v>9.84149396E9</v>
      </c>
      <c r="F191" s="5" t="s">
        <v>629</v>
      </c>
      <c r="H191" s="35">
        <v>24663.0</v>
      </c>
      <c r="I191" s="5" t="s">
        <v>156</v>
      </c>
      <c r="J191" s="5" t="s">
        <v>39</v>
      </c>
      <c r="K191" s="5" t="b">
        <v>0</v>
      </c>
      <c r="L191" s="5" t="b">
        <v>0</v>
      </c>
      <c r="N191" s="5">
        <v>3000.0</v>
      </c>
      <c r="O191" s="5">
        <v>0.0</v>
      </c>
      <c r="P191" s="5">
        <v>0.0</v>
      </c>
      <c r="R191" s="5" t="b">
        <v>0</v>
      </c>
      <c r="U191" s="5" t="s">
        <v>1519</v>
      </c>
      <c r="V191" s="5" t="s">
        <v>1508</v>
      </c>
      <c r="W191" s="5" t="s">
        <v>1508</v>
      </c>
      <c r="X191" s="5" t="s">
        <v>1509</v>
      </c>
      <c r="Z191" s="5">
        <v>2250.0</v>
      </c>
      <c r="AA191" s="5" t="s">
        <v>1556</v>
      </c>
      <c r="AB191" s="5">
        <v>750.0</v>
      </c>
      <c r="AC191" s="5" t="s">
        <v>1510</v>
      </c>
      <c r="AE191" s="5">
        <v>3149.0</v>
      </c>
      <c r="AF191" s="36">
        <v>46111.55063972222</v>
      </c>
    </row>
    <row r="192" ht="22.5" hidden="1" customHeight="1">
      <c r="A192" s="5" t="s">
        <v>1759</v>
      </c>
      <c r="B192" s="5" t="s">
        <v>1506</v>
      </c>
      <c r="C192" s="5" t="s">
        <v>630</v>
      </c>
      <c r="D192" s="5" t="s">
        <v>14</v>
      </c>
      <c r="E192" s="5">
        <v>9.851096806E9</v>
      </c>
      <c r="F192" s="5" t="s">
        <v>631</v>
      </c>
      <c r="H192" s="35">
        <v>26421.0</v>
      </c>
      <c r="I192" s="5" t="s">
        <v>156</v>
      </c>
      <c r="J192" s="5" t="s">
        <v>39</v>
      </c>
      <c r="K192" s="5" t="b">
        <v>0</v>
      </c>
      <c r="L192" s="5" t="b">
        <v>0</v>
      </c>
      <c r="N192" s="5">
        <v>3000.0</v>
      </c>
      <c r="O192" s="5">
        <v>0.0</v>
      </c>
      <c r="P192" s="5">
        <v>0.0</v>
      </c>
      <c r="R192" s="5" t="b">
        <v>0</v>
      </c>
      <c r="U192" s="5" t="s">
        <v>1519</v>
      </c>
      <c r="V192" s="5" t="s">
        <v>1508</v>
      </c>
      <c r="W192" s="5" t="s">
        <v>1508</v>
      </c>
      <c r="X192" s="5" t="s">
        <v>1509</v>
      </c>
      <c r="Z192" s="5">
        <v>3000.0</v>
      </c>
      <c r="AB192" s="5">
        <v>0.0</v>
      </c>
      <c r="AC192" s="5" t="s">
        <v>1510</v>
      </c>
      <c r="AE192" s="5">
        <v>3147.0</v>
      </c>
      <c r="AF192" s="36">
        <v>46111.533818842596</v>
      </c>
    </row>
    <row r="193" ht="22.5" customHeight="1">
      <c r="A193" s="5" t="s">
        <v>1760</v>
      </c>
      <c r="B193" s="5" t="s">
        <v>1506</v>
      </c>
      <c r="C193" s="5" t="s">
        <v>239</v>
      </c>
      <c r="D193" s="5" t="s">
        <v>14</v>
      </c>
      <c r="E193" s="5">
        <v>9.841294588E9</v>
      </c>
      <c r="F193" s="5" t="s">
        <v>240</v>
      </c>
      <c r="H193" s="35">
        <v>29003.0</v>
      </c>
      <c r="I193" s="5" t="s">
        <v>156</v>
      </c>
      <c r="J193" s="5" t="s">
        <v>17</v>
      </c>
      <c r="K193" s="5" t="b">
        <v>0</v>
      </c>
      <c r="L193" s="5" t="b">
        <v>0</v>
      </c>
      <c r="N193" s="5">
        <v>1500.0</v>
      </c>
      <c r="O193" s="5">
        <v>0.0</v>
      </c>
      <c r="P193" s="5">
        <v>0.0</v>
      </c>
      <c r="R193" s="5" t="b">
        <v>0</v>
      </c>
      <c r="U193" s="5" t="s">
        <v>1514</v>
      </c>
      <c r="V193" s="5" t="s">
        <v>1508</v>
      </c>
      <c r="W193" s="5" t="s">
        <v>1548</v>
      </c>
      <c r="X193" s="5" t="s">
        <v>1509</v>
      </c>
      <c r="Z193" s="5">
        <v>1125.0</v>
      </c>
      <c r="AA193" s="5" t="s">
        <v>1526</v>
      </c>
      <c r="AB193" s="5">
        <v>375.0</v>
      </c>
      <c r="AC193" s="5" t="s">
        <v>1510</v>
      </c>
      <c r="AE193" s="5">
        <v>4111.0</v>
      </c>
      <c r="AF193" s="36">
        <v>46111.53347230324</v>
      </c>
      <c r="AG193" s="5" t="s">
        <v>1549</v>
      </c>
    </row>
    <row r="194" ht="22.5" hidden="1" customHeight="1">
      <c r="A194" s="5" t="s">
        <v>1761</v>
      </c>
      <c r="B194" s="5" t="s">
        <v>1506</v>
      </c>
      <c r="C194" s="5" t="s">
        <v>1384</v>
      </c>
      <c r="D194" s="5" t="s">
        <v>14</v>
      </c>
      <c r="E194" s="5">
        <v>9.764615405E9</v>
      </c>
      <c r="F194" s="5" t="s">
        <v>1385</v>
      </c>
      <c r="G194" s="5">
        <v>6067112.0</v>
      </c>
      <c r="H194" s="35">
        <v>36541.0</v>
      </c>
      <c r="I194" s="5" t="s">
        <v>156</v>
      </c>
      <c r="J194" s="5" t="s">
        <v>46</v>
      </c>
      <c r="K194" s="5" t="b">
        <v>0</v>
      </c>
      <c r="L194" s="5" t="b">
        <v>0</v>
      </c>
      <c r="N194" s="5">
        <v>9000.0</v>
      </c>
      <c r="O194" s="5">
        <v>0.0</v>
      </c>
      <c r="P194" s="5">
        <v>0.0</v>
      </c>
      <c r="R194" s="5" t="b">
        <v>0</v>
      </c>
      <c r="U194" s="5" t="s">
        <v>1519</v>
      </c>
      <c r="V194" s="5" t="s">
        <v>1508</v>
      </c>
      <c r="W194" s="5" t="s">
        <v>1548</v>
      </c>
      <c r="X194" s="5" t="s">
        <v>1509</v>
      </c>
      <c r="Z194" s="5">
        <v>9000.0</v>
      </c>
      <c r="AB194" s="5">
        <v>0.0</v>
      </c>
      <c r="AC194" s="5" t="s">
        <v>1510</v>
      </c>
      <c r="AE194" s="5">
        <v>1533.0</v>
      </c>
      <c r="AF194" s="36">
        <v>46111.53296457176</v>
      </c>
      <c r="AG194" s="5" t="s">
        <v>1549</v>
      </c>
    </row>
    <row r="195" ht="22.5" customHeight="1">
      <c r="A195" s="5" t="s">
        <v>1762</v>
      </c>
      <c r="B195" s="5" t="s">
        <v>1506</v>
      </c>
      <c r="C195" s="5" t="s">
        <v>54</v>
      </c>
      <c r="D195" s="5" t="s">
        <v>14</v>
      </c>
      <c r="E195" s="5">
        <v>9.851078369E9</v>
      </c>
      <c r="F195" s="5" t="s">
        <v>55</v>
      </c>
      <c r="H195" s="35">
        <v>42827.0</v>
      </c>
      <c r="I195" s="5" t="s">
        <v>16</v>
      </c>
      <c r="J195" s="5" t="s">
        <v>17</v>
      </c>
      <c r="K195" s="5" t="b">
        <v>0</v>
      </c>
      <c r="L195" s="5" t="b">
        <v>0</v>
      </c>
      <c r="N195" s="5">
        <v>1500.0</v>
      </c>
      <c r="O195" s="5">
        <v>0.0</v>
      </c>
      <c r="P195" s="5">
        <v>0.0</v>
      </c>
      <c r="R195" s="5" t="b">
        <v>0</v>
      </c>
      <c r="U195" s="5" t="s">
        <v>1580</v>
      </c>
      <c r="V195" s="5" t="s">
        <v>1508</v>
      </c>
      <c r="W195" s="5" t="s">
        <v>1508</v>
      </c>
      <c r="X195" s="5" t="s">
        <v>1509</v>
      </c>
      <c r="Z195" s="5">
        <v>1125.0</v>
      </c>
      <c r="AA195" s="5" t="s">
        <v>1526</v>
      </c>
      <c r="AB195" s="5">
        <v>375.0</v>
      </c>
      <c r="AC195" s="5" t="s">
        <v>1510</v>
      </c>
      <c r="AE195" s="5">
        <v>4110.0</v>
      </c>
      <c r="AF195" s="36">
        <v>46111.52980145833</v>
      </c>
    </row>
    <row r="196" ht="22.5" customHeight="1">
      <c r="A196" s="5" t="s">
        <v>1763</v>
      </c>
      <c r="B196" s="5" t="s">
        <v>1506</v>
      </c>
      <c r="C196" s="5" t="s">
        <v>407</v>
      </c>
      <c r="D196" s="5" t="s">
        <v>14</v>
      </c>
      <c r="E196" s="5">
        <v>9.851078369E9</v>
      </c>
      <c r="F196" s="5" t="s">
        <v>55</v>
      </c>
      <c r="H196" s="35">
        <v>26856.0</v>
      </c>
      <c r="I196" s="5" t="s">
        <v>156</v>
      </c>
      <c r="J196" s="5" t="s">
        <v>17</v>
      </c>
      <c r="K196" s="5" t="b">
        <v>0</v>
      </c>
      <c r="L196" s="5" t="b">
        <v>0</v>
      </c>
      <c r="N196" s="5">
        <v>1500.0</v>
      </c>
      <c r="O196" s="5">
        <v>0.0</v>
      </c>
      <c r="P196" s="5">
        <v>0.0</v>
      </c>
      <c r="R196" s="5" t="b">
        <v>0</v>
      </c>
      <c r="U196" s="5" t="s">
        <v>1517</v>
      </c>
      <c r="V196" s="5" t="s">
        <v>1508</v>
      </c>
      <c r="W196" s="5" t="s">
        <v>1508</v>
      </c>
      <c r="X196" s="5" t="s">
        <v>1509</v>
      </c>
      <c r="Z196" s="5">
        <v>1125.0</v>
      </c>
      <c r="AA196" s="5" t="s">
        <v>1526</v>
      </c>
      <c r="AB196" s="5">
        <v>375.0</v>
      </c>
      <c r="AC196" s="5" t="s">
        <v>1510</v>
      </c>
      <c r="AE196" s="5">
        <v>4109.0</v>
      </c>
      <c r="AF196" s="36">
        <v>46111.524029548615</v>
      </c>
    </row>
    <row r="197" ht="22.5" customHeight="1">
      <c r="A197" s="5" t="s">
        <v>1764</v>
      </c>
      <c r="B197" s="5" t="s">
        <v>1506</v>
      </c>
      <c r="C197" s="5" t="s">
        <v>1765</v>
      </c>
      <c r="D197" s="5" t="s">
        <v>14</v>
      </c>
      <c r="E197" s="5">
        <v>9.843268112E9</v>
      </c>
      <c r="F197" s="5" t="s">
        <v>242</v>
      </c>
      <c r="H197" s="35">
        <v>31841.0</v>
      </c>
      <c r="I197" s="5" t="s">
        <v>156</v>
      </c>
      <c r="J197" s="5" t="s">
        <v>17</v>
      </c>
      <c r="K197" s="5" t="b">
        <v>0</v>
      </c>
      <c r="L197" s="5" t="b">
        <v>0</v>
      </c>
      <c r="N197" s="5">
        <v>1500.0</v>
      </c>
      <c r="O197" s="5">
        <v>0.0</v>
      </c>
      <c r="P197" s="5">
        <v>0.0</v>
      </c>
      <c r="R197" s="5" t="b">
        <v>0</v>
      </c>
      <c r="U197" s="5" t="s">
        <v>1514</v>
      </c>
      <c r="V197" s="5" t="s">
        <v>1508</v>
      </c>
      <c r="W197" s="5" t="s">
        <v>1508</v>
      </c>
      <c r="X197" s="5" t="s">
        <v>1509</v>
      </c>
      <c r="Z197" s="5">
        <v>1125.0</v>
      </c>
      <c r="AA197" s="5" t="s">
        <v>1526</v>
      </c>
      <c r="AB197" s="5">
        <v>375.0</v>
      </c>
      <c r="AC197" s="5" t="s">
        <v>1510</v>
      </c>
      <c r="AD197" s="5" t="s">
        <v>1558</v>
      </c>
      <c r="AE197" s="5">
        <v>4129.0</v>
      </c>
      <c r="AF197" s="36">
        <v>46111.49830138889</v>
      </c>
    </row>
    <row r="198" ht="22.5" hidden="1" customHeight="1">
      <c r="A198" s="5" t="s">
        <v>1766</v>
      </c>
      <c r="B198" s="5" t="s">
        <v>1506</v>
      </c>
      <c r="C198" s="5" t="s">
        <v>925</v>
      </c>
      <c r="D198" s="5" t="s">
        <v>366</v>
      </c>
      <c r="E198" s="25" t="s">
        <v>926</v>
      </c>
      <c r="F198" s="5" t="s">
        <v>927</v>
      </c>
      <c r="H198" s="35">
        <v>35770.0</v>
      </c>
      <c r="I198" s="5" t="s">
        <v>16</v>
      </c>
      <c r="J198" s="5" t="s">
        <v>42</v>
      </c>
      <c r="K198" s="5" t="b">
        <v>0</v>
      </c>
      <c r="L198" s="5" t="b">
        <v>0</v>
      </c>
      <c r="N198" s="5">
        <v>80.0</v>
      </c>
      <c r="O198" s="5">
        <v>0.0</v>
      </c>
      <c r="P198" s="5">
        <v>0.0</v>
      </c>
      <c r="R198" s="5" t="b">
        <v>0</v>
      </c>
      <c r="U198" s="5" t="s">
        <v>1507</v>
      </c>
      <c r="V198" s="5" t="s">
        <v>1508</v>
      </c>
      <c r="W198" s="5" t="s">
        <v>1508</v>
      </c>
      <c r="X198" s="5" t="s">
        <v>1509</v>
      </c>
      <c r="Z198" s="5">
        <v>60.0</v>
      </c>
      <c r="AA198" s="5" t="s">
        <v>1649</v>
      </c>
      <c r="AB198" s="5">
        <v>20.0</v>
      </c>
      <c r="AC198" s="5" t="s">
        <v>1546</v>
      </c>
      <c r="AD198" s="5" t="s">
        <v>1511</v>
      </c>
      <c r="AE198" s="5">
        <v>2100.0</v>
      </c>
      <c r="AF198" s="36">
        <v>46111.487107002315</v>
      </c>
    </row>
    <row r="199" ht="22.5" hidden="1" customHeight="1">
      <c r="A199" s="5" t="s">
        <v>1767</v>
      </c>
      <c r="B199" s="5" t="s">
        <v>1506</v>
      </c>
      <c r="C199" s="5" t="s">
        <v>632</v>
      </c>
      <c r="D199" s="5" t="s">
        <v>14</v>
      </c>
      <c r="E199" s="5">
        <v>9.841604578E9</v>
      </c>
      <c r="F199" s="5" t="s">
        <v>633</v>
      </c>
      <c r="H199" s="35">
        <v>30740.0</v>
      </c>
      <c r="I199" s="5" t="s">
        <v>156</v>
      </c>
      <c r="J199" s="5" t="s">
        <v>39</v>
      </c>
      <c r="K199" s="5" t="b">
        <v>0</v>
      </c>
      <c r="L199" s="5" t="b">
        <v>0</v>
      </c>
      <c r="N199" s="5">
        <v>3000.0</v>
      </c>
      <c r="O199" s="5">
        <v>0.0</v>
      </c>
      <c r="P199" s="5">
        <v>0.0</v>
      </c>
      <c r="R199" s="5" t="b">
        <v>0</v>
      </c>
      <c r="U199" s="5" t="s">
        <v>1507</v>
      </c>
      <c r="V199" s="5" t="s">
        <v>1508</v>
      </c>
      <c r="W199" s="5" t="s">
        <v>1508</v>
      </c>
      <c r="X199" s="5" t="s">
        <v>1509</v>
      </c>
      <c r="Z199" s="5">
        <v>2400.0</v>
      </c>
      <c r="AA199" s="5" t="s">
        <v>1591</v>
      </c>
      <c r="AB199" s="5">
        <v>600.0</v>
      </c>
      <c r="AC199" s="5" t="s">
        <v>1510</v>
      </c>
      <c r="AE199" s="5">
        <v>3146.0</v>
      </c>
      <c r="AF199" s="36">
        <v>46111.46981480324</v>
      </c>
    </row>
    <row r="200" ht="22.5" customHeight="1">
      <c r="A200" s="5" t="s">
        <v>1768</v>
      </c>
      <c r="B200" s="5" t="s">
        <v>1506</v>
      </c>
      <c r="C200" s="5" t="s">
        <v>57</v>
      </c>
      <c r="D200" s="5" t="s">
        <v>14</v>
      </c>
      <c r="E200" s="25" t="s">
        <v>58</v>
      </c>
      <c r="F200" s="5" t="s">
        <v>59</v>
      </c>
      <c r="H200" s="35">
        <v>36193.0</v>
      </c>
      <c r="I200" s="5" t="s">
        <v>16</v>
      </c>
      <c r="J200" s="5" t="s">
        <v>17</v>
      </c>
      <c r="K200" s="5" t="b">
        <v>0</v>
      </c>
      <c r="L200" s="5" t="b">
        <v>0</v>
      </c>
      <c r="N200" s="5">
        <v>1500.0</v>
      </c>
      <c r="O200" s="5">
        <v>0.0</v>
      </c>
      <c r="P200" s="5">
        <v>0.0</v>
      </c>
      <c r="R200" s="5" t="b">
        <v>0</v>
      </c>
      <c r="U200" s="5" t="s">
        <v>1519</v>
      </c>
      <c r="V200" s="5" t="s">
        <v>1508</v>
      </c>
      <c r="W200" s="5" t="s">
        <v>1508</v>
      </c>
      <c r="X200" s="5" t="s">
        <v>1509</v>
      </c>
      <c r="Z200" s="5">
        <v>1125.0</v>
      </c>
      <c r="AA200" s="5" t="s">
        <v>1526</v>
      </c>
      <c r="AB200" s="5">
        <v>375.0</v>
      </c>
      <c r="AC200" s="5" t="s">
        <v>1510</v>
      </c>
      <c r="AE200" s="5">
        <v>4108.0</v>
      </c>
      <c r="AF200" s="36">
        <v>46111.45626791667</v>
      </c>
    </row>
    <row r="201" ht="22.5" hidden="1" customHeight="1">
      <c r="A201" s="5" t="s">
        <v>1769</v>
      </c>
      <c r="B201" s="5" t="s">
        <v>1506</v>
      </c>
      <c r="C201" s="5" t="s">
        <v>1239</v>
      </c>
      <c r="D201" s="5" t="s">
        <v>14</v>
      </c>
      <c r="E201" s="5">
        <v>9.860799347E9</v>
      </c>
      <c r="F201" s="5" t="s">
        <v>1240</v>
      </c>
      <c r="H201" s="35">
        <v>37347.0</v>
      </c>
      <c r="I201" s="5" t="s">
        <v>156</v>
      </c>
      <c r="J201" s="5" t="s">
        <v>36</v>
      </c>
      <c r="K201" s="5" t="b">
        <v>0</v>
      </c>
      <c r="L201" s="5" t="b">
        <v>0</v>
      </c>
      <c r="N201" s="5">
        <v>12000.0</v>
      </c>
      <c r="O201" s="5">
        <v>0.0</v>
      </c>
      <c r="P201" s="5">
        <v>0.0</v>
      </c>
      <c r="R201" s="5" t="b">
        <v>0</v>
      </c>
      <c r="U201" s="5" t="s">
        <v>1519</v>
      </c>
      <c r="V201" s="5" t="s">
        <v>1508</v>
      </c>
      <c r="W201" s="5" t="s">
        <v>1508</v>
      </c>
      <c r="X201" s="5" t="s">
        <v>1509</v>
      </c>
      <c r="Z201" s="5">
        <v>9003.6</v>
      </c>
      <c r="AA201" s="5" t="s">
        <v>1770</v>
      </c>
      <c r="AB201" s="5">
        <v>2996.4</v>
      </c>
      <c r="AC201" s="5" t="s">
        <v>1510</v>
      </c>
      <c r="AD201" s="5" t="s">
        <v>1511</v>
      </c>
      <c r="AE201" s="5">
        <v>1060.0</v>
      </c>
      <c r="AF201" s="36">
        <v>46111.44241594907</v>
      </c>
    </row>
    <row r="202" ht="22.5" hidden="1" customHeight="1">
      <c r="A202" s="5" t="s">
        <v>1771</v>
      </c>
      <c r="B202" s="5" t="s">
        <v>1506</v>
      </c>
      <c r="C202" s="5" t="s">
        <v>1241</v>
      </c>
      <c r="D202" s="5" t="s">
        <v>14</v>
      </c>
      <c r="E202" s="5">
        <v>9.807472931E9</v>
      </c>
      <c r="F202" s="5" t="s">
        <v>1242</v>
      </c>
      <c r="H202" s="35">
        <v>37871.0</v>
      </c>
      <c r="I202" s="5" t="s">
        <v>156</v>
      </c>
      <c r="J202" s="5" t="s">
        <v>36</v>
      </c>
      <c r="K202" s="5" t="b">
        <v>0</v>
      </c>
      <c r="L202" s="5" t="b">
        <v>0</v>
      </c>
      <c r="N202" s="5">
        <v>12000.0</v>
      </c>
      <c r="O202" s="5">
        <v>0.0</v>
      </c>
      <c r="P202" s="5">
        <v>0.0</v>
      </c>
      <c r="R202" s="5" t="b">
        <v>0</v>
      </c>
      <c r="U202" s="5" t="s">
        <v>1519</v>
      </c>
      <c r="V202" s="5" t="s">
        <v>1508</v>
      </c>
      <c r="W202" s="5" t="s">
        <v>1508</v>
      </c>
      <c r="X202" s="5" t="s">
        <v>1509</v>
      </c>
      <c r="Z202" s="5">
        <v>9003.6</v>
      </c>
      <c r="AA202" s="5" t="s">
        <v>1770</v>
      </c>
      <c r="AB202" s="5">
        <v>2996.4</v>
      </c>
      <c r="AC202" s="5" t="s">
        <v>1510</v>
      </c>
      <c r="AD202" s="5" t="s">
        <v>1511</v>
      </c>
      <c r="AE202" s="5">
        <v>1061.0</v>
      </c>
      <c r="AF202" s="36">
        <v>46111.44158960648</v>
      </c>
    </row>
    <row r="203" ht="22.5" hidden="1" customHeight="1">
      <c r="A203" s="5" t="s">
        <v>1772</v>
      </c>
      <c r="B203" s="5" t="s">
        <v>1506</v>
      </c>
      <c r="C203" s="5" t="s">
        <v>1243</v>
      </c>
      <c r="D203" s="5" t="s">
        <v>14</v>
      </c>
      <c r="E203" s="5">
        <v>9.861165051E9</v>
      </c>
      <c r="F203" s="5" t="s">
        <v>1244</v>
      </c>
      <c r="H203" s="35">
        <v>36410.0</v>
      </c>
      <c r="I203" s="5" t="s">
        <v>156</v>
      </c>
      <c r="J203" s="5" t="s">
        <v>36</v>
      </c>
      <c r="K203" s="5" t="b">
        <v>0</v>
      </c>
      <c r="L203" s="5" t="b">
        <v>0</v>
      </c>
      <c r="N203" s="5">
        <v>12000.0</v>
      </c>
      <c r="O203" s="5">
        <v>0.0</v>
      </c>
      <c r="P203" s="5">
        <v>0.0</v>
      </c>
      <c r="R203" s="5" t="b">
        <v>0</v>
      </c>
      <c r="U203" s="5" t="s">
        <v>1519</v>
      </c>
      <c r="V203" s="5" t="s">
        <v>1508</v>
      </c>
      <c r="W203" s="5" t="s">
        <v>1508</v>
      </c>
      <c r="X203" s="5" t="s">
        <v>1509</v>
      </c>
      <c r="Z203" s="5">
        <v>9003.6</v>
      </c>
      <c r="AA203" s="5" t="s">
        <v>1770</v>
      </c>
      <c r="AB203" s="5">
        <v>2996.4</v>
      </c>
      <c r="AC203" s="5" t="s">
        <v>1510</v>
      </c>
      <c r="AD203" s="5" t="s">
        <v>1511</v>
      </c>
      <c r="AE203" s="5">
        <v>1062.0</v>
      </c>
      <c r="AF203" s="36">
        <v>46111.44085508102</v>
      </c>
    </row>
    <row r="204" ht="22.5" hidden="1" customHeight="1">
      <c r="A204" s="5" t="s">
        <v>1773</v>
      </c>
      <c r="B204" s="5" t="s">
        <v>1506</v>
      </c>
      <c r="C204" s="5" t="s">
        <v>1386</v>
      </c>
      <c r="D204" s="5" t="s">
        <v>14</v>
      </c>
      <c r="E204" s="5">
        <v>9.863967716E9</v>
      </c>
      <c r="F204" s="5" t="s">
        <v>1387</v>
      </c>
      <c r="H204" s="35">
        <v>36123.0</v>
      </c>
      <c r="I204" s="5" t="s">
        <v>156</v>
      </c>
      <c r="J204" s="5" t="s">
        <v>46</v>
      </c>
      <c r="K204" s="5" t="b">
        <v>0</v>
      </c>
      <c r="L204" s="5" t="b">
        <v>0</v>
      </c>
      <c r="N204" s="5">
        <v>9000.0</v>
      </c>
      <c r="O204" s="5">
        <v>0.0</v>
      </c>
      <c r="P204" s="5">
        <v>0.0</v>
      </c>
      <c r="R204" s="5" t="b">
        <v>0</v>
      </c>
      <c r="U204" s="5" t="s">
        <v>1519</v>
      </c>
      <c r="V204" s="5" t="s">
        <v>1508</v>
      </c>
      <c r="W204" s="5" t="s">
        <v>1548</v>
      </c>
      <c r="X204" s="5" t="s">
        <v>1509</v>
      </c>
      <c r="Z204" s="5">
        <v>6750.0</v>
      </c>
      <c r="AA204" s="5" t="s">
        <v>955</v>
      </c>
      <c r="AB204" s="5">
        <v>2250.0</v>
      </c>
      <c r="AC204" s="5" t="s">
        <v>1510</v>
      </c>
      <c r="AE204" s="5">
        <v>1532.0</v>
      </c>
      <c r="AF204" s="36">
        <v>46111.439886354165</v>
      </c>
      <c r="AG204" s="5" t="s">
        <v>1549</v>
      </c>
    </row>
    <row r="205" ht="22.5" hidden="1" customHeight="1">
      <c r="A205" s="5" t="s">
        <v>1774</v>
      </c>
      <c r="B205" s="5" t="s">
        <v>1506</v>
      </c>
      <c r="C205" s="5" t="s">
        <v>1245</v>
      </c>
      <c r="D205" s="5" t="s">
        <v>14</v>
      </c>
      <c r="E205" s="5">
        <v>9.741835386E9</v>
      </c>
      <c r="F205" s="5" t="s">
        <v>1246</v>
      </c>
      <c r="H205" s="35">
        <v>37712.0</v>
      </c>
      <c r="I205" s="5" t="s">
        <v>156</v>
      </c>
      <c r="J205" s="5" t="s">
        <v>36</v>
      </c>
      <c r="K205" s="5" t="b">
        <v>0</v>
      </c>
      <c r="L205" s="5" t="b">
        <v>0</v>
      </c>
      <c r="N205" s="5">
        <v>12000.0</v>
      </c>
      <c r="O205" s="5">
        <v>0.0</v>
      </c>
      <c r="P205" s="5">
        <v>0.0</v>
      </c>
      <c r="R205" s="5" t="b">
        <v>0</v>
      </c>
      <c r="U205" s="5" t="s">
        <v>1519</v>
      </c>
      <c r="V205" s="5" t="s">
        <v>1508</v>
      </c>
      <c r="W205" s="5" t="s">
        <v>1508</v>
      </c>
      <c r="X205" s="5" t="s">
        <v>1509</v>
      </c>
      <c r="Z205" s="5">
        <v>9003.6</v>
      </c>
      <c r="AA205" s="5" t="s">
        <v>1770</v>
      </c>
      <c r="AB205" s="5">
        <v>2996.4</v>
      </c>
      <c r="AC205" s="5" t="s">
        <v>1510</v>
      </c>
      <c r="AD205" s="5" t="s">
        <v>1511</v>
      </c>
      <c r="AE205" s="5">
        <v>1063.0</v>
      </c>
      <c r="AF205" s="36">
        <v>46111.43949162037</v>
      </c>
    </row>
    <row r="206" ht="22.5" hidden="1" customHeight="1">
      <c r="A206" s="5" t="s">
        <v>1775</v>
      </c>
      <c r="B206" s="5" t="s">
        <v>1506</v>
      </c>
      <c r="C206" s="5" t="s">
        <v>1776</v>
      </c>
      <c r="D206" s="5" t="s">
        <v>14</v>
      </c>
      <c r="E206" s="5">
        <v>9.869044509E9</v>
      </c>
      <c r="F206" s="5" t="s">
        <v>1263</v>
      </c>
      <c r="H206" s="35">
        <v>37624.0</v>
      </c>
      <c r="I206" s="5" t="s">
        <v>156</v>
      </c>
      <c r="J206" s="5" t="s">
        <v>36</v>
      </c>
      <c r="K206" s="5" t="b">
        <v>0</v>
      </c>
      <c r="L206" s="5" t="b">
        <v>0</v>
      </c>
      <c r="N206" s="5">
        <v>12000.0</v>
      </c>
      <c r="O206" s="5">
        <v>0.0</v>
      </c>
      <c r="P206" s="5">
        <v>0.0</v>
      </c>
      <c r="R206" s="5" t="b">
        <v>0</v>
      </c>
      <c r="U206" s="5" t="s">
        <v>1519</v>
      </c>
      <c r="V206" s="5" t="s">
        <v>1508</v>
      </c>
      <c r="W206" s="5" t="s">
        <v>1508</v>
      </c>
      <c r="X206" s="5" t="s">
        <v>1509</v>
      </c>
      <c r="Z206" s="5">
        <v>9003.6</v>
      </c>
      <c r="AA206" s="5" t="s">
        <v>1770</v>
      </c>
      <c r="AB206" s="5">
        <v>2996.4</v>
      </c>
      <c r="AC206" s="5" t="s">
        <v>1510</v>
      </c>
      <c r="AD206" s="5" t="s">
        <v>1511</v>
      </c>
      <c r="AE206" s="5">
        <v>1064.0</v>
      </c>
      <c r="AF206" s="36">
        <v>46111.438767893516</v>
      </c>
    </row>
    <row r="207" ht="22.5" hidden="1" customHeight="1">
      <c r="A207" s="5" t="s">
        <v>1777</v>
      </c>
      <c r="B207" s="5" t="s">
        <v>1506</v>
      </c>
      <c r="C207" s="5" t="s">
        <v>1248</v>
      </c>
      <c r="D207" s="5" t="s">
        <v>14</v>
      </c>
      <c r="E207" s="5">
        <v>9.748274852E9</v>
      </c>
      <c r="F207" s="5" t="s">
        <v>1249</v>
      </c>
      <c r="H207" s="35">
        <v>36977.0</v>
      </c>
      <c r="I207" s="5" t="s">
        <v>156</v>
      </c>
      <c r="J207" s="5" t="s">
        <v>36</v>
      </c>
      <c r="K207" s="5" t="b">
        <v>0</v>
      </c>
      <c r="L207" s="5" t="b">
        <v>0</v>
      </c>
      <c r="N207" s="5">
        <v>12000.0</v>
      </c>
      <c r="O207" s="5">
        <v>0.0</v>
      </c>
      <c r="P207" s="5">
        <v>0.0</v>
      </c>
      <c r="R207" s="5" t="b">
        <v>0</v>
      </c>
      <c r="U207" s="5" t="s">
        <v>1519</v>
      </c>
      <c r="V207" s="5" t="s">
        <v>1508</v>
      </c>
      <c r="W207" s="5" t="s">
        <v>1508</v>
      </c>
      <c r="X207" s="5" t="s">
        <v>1509</v>
      </c>
      <c r="Z207" s="5">
        <v>9003.6</v>
      </c>
      <c r="AA207" s="5" t="s">
        <v>1770</v>
      </c>
      <c r="AB207" s="5">
        <v>2996.4</v>
      </c>
      <c r="AC207" s="5" t="s">
        <v>1510</v>
      </c>
      <c r="AD207" s="5" t="s">
        <v>1511</v>
      </c>
      <c r="AE207" s="5">
        <v>1065.0</v>
      </c>
      <c r="AF207" s="36">
        <v>46111.437018958335</v>
      </c>
    </row>
    <row r="208" ht="22.5" hidden="1" customHeight="1">
      <c r="A208" s="5" t="s">
        <v>1778</v>
      </c>
      <c r="B208" s="5" t="s">
        <v>1506</v>
      </c>
      <c r="C208" s="5" t="s">
        <v>438</v>
      </c>
      <c r="D208" s="5" t="s">
        <v>14</v>
      </c>
      <c r="E208" s="5">
        <v>9.803406582E9</v>
      </c>
      <c r="F208" s="5" t="s">
        <v>439</v>
      </c>
      <c r="H208" s="35">
        <v>28870.0</v>
      </c>
      <c r="I208" s="5" t="s">
        <v>16</v>
      </c>
      <c r="J208" s="5" t="s">
        <v>39</v>
      </c>
      <c r="K208" s="5" t="b">
        <v>0</v>
      </c>
      <c r="L208" s="5" t="b">
        <v>0</v>
      </c>
      <c r="N208" s="5">
        <v>3000.0</v>
      </c>
      <c r="O208" s="5">
        <v>0.0</v>
      </c>
      <c r="P208" s="5">
        <v>0.0</v>
      </c>
      <c r="R208" s="5" t="b">
        <v>0</v>
      </c>
      <c r="U208" s="5" t="s">
        <v>1580</v>
      </c>
      <c r="V208" s="5" t="s">
        <v>1508</v>
      </c>
      <c r="W208" s="5" t="s">
        <v>1508</v>
      </c>
      <c r="X208" s="5" t="s">
        <v>1509</v>
      </c>
      <c r="Z208" s="5">
        <v>3000.0</v>
      </c>
      <c r="AB208" s="5">
        <v>0.0</v>
      </c>
      <c r="AC208" s="5" t="s">
        <v>1510</v>
      </c>
      <c r="AE208" s="5">
        <v>3145.0</v>
      </c>
      <c r="AF208" s="36">
        <v>46111.41953638889</v>
      </c>
    </row>
    <row r="209" ht="22.5" hidden="1" customHeight="1">
      <c r="A209" s="5" t="s">
        <v>1779</v>
      </c>
      <c r="B209" s="5" t="s">
        <v>1506</v>
      </c>
      <c r="C209" s="5" t="s">
        <v>634</v>
      </c>
      <c r="D209" s="5" t="s">
        <v>14</v>
      </c>
      <c r="E209" s="5">
        <v>9.70808103E9</v>
      </c>
      <c r="F209" s="5" t="s">
        <v>635</v>
      </c>
      <c r="H209" s="35">
        <v>39339.0</v>
      </c>
      <c r="I209" s="5" t="s">
        <v>156</v>
      </c>
      <c r="J209" s="5" t="s">
        <v>39</v>
      </c>
      <c r="K209" s="5" t="b">
        <v>0</v>
      </c>
      <c r="L209" s="5" t="b">
        <v>0</v>
      </c>
      <c r="N209" s="5">
        <v>3000.0</v>
      </c>
      <c r="O209" s="5">
        <v>0.0</v>
      </c>
      <c r="P209" s="5">
        <v>0.0</v>
      </c>
      <c r="R209" s="5" t="b">
        <v>0</v>
      </c>
      <c r="U209" s="5" t="s">
        <v>1517</v>
      </c>
      <c r="V209" s="5" t="s">
        <v>1508</v>
      </c>
      <c r="W209" s="5" t="s">
        <v>1508</v>
      </c>
      <c r="X209" s="5" t="s">
        <v>1509</v>
      </c>
      <c r="Z209" s="5">
        <v>3000.0</v>
      </c>
      <c r="AB209" s="5">
        <v>0.0</v>
      </c>
      <c r="AC209" s="5" t="s">
        <v>1510</v>
      </c>
      <c r="AE209" s="5">
        <v>3144.0</v>
      </c>
      <c r="AF209" s="36">
        <v>46111.41606293982</v>
      </c>
    </row>
    <row r="210" ht="22.5" customHeight="1">
      <c r="A210" s="5" t="s">
        <v>1780</v>
      </c>
      <c r="B210" s="5" t="s">
        <v>1506</v>
      </c>
      <c r="C210" s="5" t="s">
        <v>243</v>
      </c>
      <c r="D210" s="5" t="s">
        <v>14</v>
      </c>
      <c r="E210" s="5">
        <v>9.864111717E9</v>
      </c>
      <c r="F210" s="5" t="s">
        <v>244</v>
      </c>
      <c r="H210" s="35">
        <v>34156.0</v>
      </c>
      <c r="I210" s="5" t="s">
        <v>156</v>
      </c>
      <c r="J210" s="5" t="s">
        <v>17</v>
      </c>
      <c r="K210" s="5" t="b">
        <v>0</v>
      </c>
      <c r="L210" s="5" t="b">
        <v>0</v>
      </c>
      <c r="N210" s="5">
        <v>1500.0</v>
      </c>
      <c r="O210" s="5">
        <v>0.0</v>
      </c>
      <c r="P210" s="5">
        <v>0.0</v>
      </c>
      <c r="R210" s="5" t="b">
        <v>0</v>
      </c>
      <c r="U210" s="5" t="s">
        <v>1519</v>
      </c>
      <c r="V210" s="5" t="s">
        <v>1508</v>
      </c>
      <c r="W210" s="5" t="s">
        <v>1508</v>
      </c>
      <c r="X210" s="5" t="s">
        <v>1509</v>
      </c>
      <c r="Z210" s="5">
        <v>1500.0</v>
      </c>
      <c r="AB210" s="5">
        <v>0.0</v>
      </c>
      <c r="AC210" s="5" t="s">
        <v>1510</v>
      </c>
      <c r="AE210" s="5">
        <v>4107.0</v>
      </c>
      <c r="AF210" s="36">
        <v>46111.402639085645</v>
      </c>
    </row>
    <row r="211" ht="22.5" hidden="1" customHeight="1">
      <c r="A211" s="5" t="s">
        <v>1781</v>
      </c>
      <c r="B211" s="5" t="s">
        <v>1506</v>
      </c>
      <c r="C211" s="5" t="s">
        <v>1250</v>
      </c>
      <c r="D211" s="5" t="s">
        <v>14</v>
      </c>
      <c r="E211" s="25" t="s">
        <v>1251</v>
      </c>
      <c r="F211" s="5" t="s">
        <v>1252</v>
      </c>
      <c r="G211" s="5">
        <v>1991203.0</v>
      </c>
      <c r="H211" s="35">
        <v>35513.0</v>
      </c>
      <c r="I211" s="5" t="s">
        <v>156</v>
      </c>
      <c r="J211" s="5" t="s">
        <v>36</v>
      </c>
      <c r="K211" s="5" t="b">
        <v>0</v>
      </c>
      <c r="L211" s="5" t="b">
        <v>0</v>
      </c>
      <c r="N211" s="5">
        <v>12000.0</v>
      </c>
      <c r="O211" s="5">
        <v>0.0</v>
      </c>
      <c r="P211" s="5">
        <v>0.0</v>
      </c>
      <c r="R211" s="5" t="b">
        <v>0</v>
      </c>
      <c r="U211" s="5" t="s">
        <v>1517</v>
      </c>
      <c r="V211" s="5" t="s">
        <v>1508</v>
      </c>
      <c r="W211" s="5" t="s">
        <v>1508</v>
      </c>
      <c r="X211" s="5" t="s">
        <v>1509</v>
      </c>
      <c r="Z211" s="5">
        <v>12000.0</v>
      </c>
      <c r="AB211" s="5">
        <v>0.0</v>
      </c>
      <c r="AC211" s="5" t="s">
        <v>1510</v>
      </c>
      <c r="AD211" s="5" t="s">
        <v>1511</v>
      </c>
      <c r="AE211" s="5">
        <v>1066.0</v>
      </c>
      <c r="AF211" s="36">
        <v>46111.395447407405</v>
      </c>
    </row>
    <row r="212" ht="22.5" customHeight="1">
      <c r="A212" s="5" t="s">
        <v>1782</v>
      </c>
      <c r="B212" s="5" t="s">
        <v>1506</v>
      </c>
      <c r="C212" s="5" t="s">
        <v>245</v>
      </c>
      <c r="D212" s="5" t="s">
        <v>14</v>
      </c>
      <c r="E212" s="25" t="s">
        <v>246</v>
      </c>
      <c r="F212" s="5" t="s">
        <v>247</v>
      </c>
      <c r="H212" s="35">
        <v>23059.0</v>
      </c>
      <c r="I212" s="5" t="s">
        <v>156</v>
      </c>
      <c r="J212" s="5" t="s">
        <v>17</v>
      </c>
      <c r="K212" s="5" t="b">
        <v>0</v>
      </c>
      <c r="L212" s="5" t="b">
        <v>0</v>
      </c>
      <c r="N212" s="5">
        <v>1500.0</v>
      </c>
      <c r="O212" s="5">
        <v>0.0</v>
      </c>
      <c r="P212" s="5">
        <v>0.0</v>
      </c>
      <c r="R212" s="5" t="b">
        <v>0</v>
      </c>
      <c r="U212" s="5" t="s">
        <v>1517</v>
      </c>
      <c r="V212" s="5" t="s">
        <v>1508</v>
      </c>
      <c r="W212" s="5" t="s">
        <v>1508</v>
      </c>
      <c r="X212" s="5" t="s">
        <v>1509</v>
      </c>
      <c r="Z212" s="5">
        <v>1500.0</v>
      </c>
      <c r="AB212" s="5">
        <v>0.0</v>
      </c>
      <c r="AC212" s="5" t="s">
        <v>1510</v>
      </c>
      <c r="AE212" s="5">
        <v>4106.0</v>
      </c>
      <c r="AF212" s="36">
        <v>46111.36064417824</v>
      </c>
    </row>
    <row r="213" ht="22.5" hidden="1" customHeight="1">
      <c r="A213" s="5" t="s">
        <v>1783</v>
      </c>
      <c r="B213" s="5" t="s">
        <v>1506</v>
      </c>
      <c r="C213" s="5" t="s">
        <v>1784</v>
      </c>
      <c r="D213" s="5" t="s">
        <v>14</v>
      </c>
      <c r="E213" s="5">
        <v>9.841992271E9</v>
      </c>
      <c r="F213" s="5" t="s">
        <v>637</v>
      </c>
      <c r="H213" s="35">
        <v>30637.0</v>
      </c>
      <c r="I213" s="5" t="s">
        <v>156</v>
      </c>
      <c r="J213" s="5" t="s">
        <v>39</v>
      </c>
      <c r="K213" s="5" t="b">
        <v>0</v>
      </c>
      <c r="L213" s="5" t="b">
        <v>0</v>
      </c>
      <c r="N213" s="5">
        <v>3000.0</v>
      </c>
      <c r="O213" s="5">
        <v>0.0</v>
      </c>
      <c r="P213" s="5">
        <v>0.0</v>
      </c>
      <c r="R213" s="5" t="b">
        <v>0</v>
      </c>
      <c r="U213" s="5" t="s">
        <v>1517</v>
      </c>
      <c r="V213" s="5" t="s">
        <v>1508</v>
      </c>
      <c r="W213" s="5" t="s">
        <v>1508</v>
      </c>
      <c r="X213" s="5" t="s">
        <v>1509</v>
      </c>
      <c r="Z213" s="5">
        <v>3000.0</v>
      </c>
      <c r="AB213" s="5">
        <v>0.0</v>
      </c>
      <c r="AC213" s="5" t="s">
        <v>1510</v>
      </c>
      <c r="AE213" s="5">
        <v>3142.0</v>
      </c>
      <c r="AF213" s="36">
        <v>46111.35911521991</v>
      </c>
    </row>
    <row r="214" ht="22.5" customHeight="1">
      <c r="A214" s="5" t="s">
        <v>1785</v>
      </c>
      <c r="B214" s="5" t="s">
        <v>1506</v>
      </c>
      <c r="C214" s="5" t="s">
        <v>150</v>
      </c>
      <c r="D214" s="5" t="s">
        <v>151</v>
      </c>
      <c r="E214" s="25" t="s">
        <v>152</v>
      </c>
      <c r="F214" s="5" t="s">
        <v>153</v>
      </c>
      <c r="H214" s="35">
        <v>34624.0</v>
      </c>
      <c r="I214" s="5" t="s">
        <v>16</v>
      </c>
      <c r="J214" s="5" t="s">
        <v>17</v>
      </c>
      <c r="K214" s="5" t="b">
        <v>0</v>
      </c>
      <c r="L214" s="5" t="b">
        <v>0</v>
      </c>
      <c r="N214" s="5">
        <v>1500.0</v>
      </c>
      <c r="O214" s="5">
        <v>0.0</v>
      </c>
      <c r="P214" s="5">
        <v>0.0</v>
      </c>
      <c r="R214" s="5" t="b">
        <v>0</v>
      </c>
      <c r="U214" s="5" t="s">
        <v>1519</v>
      </c>
      <c r="V214" s="5" t="s">
        <v>1508</v>
      </c>
      <c r="W214" s="5" t="s">
        <v>1508</v>
      </c>
      <c r="X214" s="5" t="s">
        <v>1509</v>
      </c>
      <c r="Z214" s="5">
        <v>1500.0</v>
      </c>
      <c r="AB214" s="5">
        <v>0.0</v>
      </c>
      <c r="AC214" s="5" t="s">
        <v>1510</v>
      </c>
      <c r="AE214" s="5">
        <v>4105.0</v>
      </c>
      <c r="AF214" s="36">
        <v>46111.33702267361</v>
      </c>
    </row>
    <row r="215" ht="22.5" hidden="1" customHeight="1">
      <c r="A215" s="5" t="s">
        <v>1786</v>
      </c>
      <c r="B215" s="5" t="s">
        <v>1506</v>
      </c>
      <c r="C215" s="5" t="s">
        <v>638</v>
      </c>
      <c r="D215" s="5" t="s">
        <v>14</v>
      </c>
      <c r="E215" s="5">
        <v>9.801045823E9</v>
      </c>
      <c r="F215" s="5" t="s">
        <v>639</v>
      </c>
      <c r="H215" s="35">
        <v>29103.0</v>
      </c>
      <c r="I215" s="5" t="s">
        <v>156</v>
      </c>
      <c r="J215" s="5" t="s">
        <v>39</v>
      </c>
      <c r="K215" s="5" t="b">
        <v>0</v>
      </c>
      <c r="L215" s="5" t="b">
        <v>0</v>
      </c>
      <c r="N215" s="5">
        <v>3000.0</v>
      </c>
      <c r="O215" s="5">
        <v>0.0</v>
      </c>
      <c r="P215" s="5">
        <v>0.0</v>
      </c>
      <c r="R215" s="5" t="b">
        <v>0</v>
      </c>
      <c r="U215" s="5" t="s">
        <v>1517</v>
      </c>
      <c r="V215" s="5" t="s">
        <v>1508</v>
      </c>
      <c r="W215" s="5" t="s">
        <v>1508</v>
      </c>
      <c r="X215" s="5" t="s">
        <v>1509</v>
      </c>
      <c r="Z215" s="5">
        <v>2250.0</v>
      </c>
      <c r="AA215" s="5" t="s">
        <v>1526</v>
      </c>
      <c r="AB215" s="5">
        <v>750.0</v>
      </c>
      <c r="AC215" s="5" t="s">
        <v>1510</v>
      </c>
      <c r="AE215" s="5">
        <v>3143.0</v>
      </c>
      <c r="AF215" s="36">
        <v>46111.30558291667</v>
      </c>
    </row>
    <row r="216" ht="22.5" customHeight="1">
      <c r="A216" s="5" t="s">
        <v>1787</v>
      </c>
      <c r="B216" s="5" t="s">
        <v>1506</v>
      </c>
      <c r="C216" s="5" t="s">
        <v>60</v>
      </c>
      <c r="D216" s="5" t="s">
        <v>14</v>
      </c>
      <c r="E216" s="5">
        <v>9.866193321E9</v>
      </c>
      <c r="F216" s="5" t="s">
        <v>61</v>
      </c>
      <c r="H216" s="35">
        <v>37238.0</v>
      </c>
      <c r="I216" s="5" t="s">
        <v>16</v>
      </c>
      <c r="J216" s="5" t="s">
        <v>17</v>
      </c>
      <c r="K216" s="5" t="b">
        <v>0</v>
      </c>
      <c r="L216" s="5" t="b">
        <v>0</v>
      </c>
      <c r="N216" s="5">
        <v>1500.0</v>
      </c>
      <c r="O216" s="5">
        <v>0.0</v>
      </c>
      <c r="P216" s="5">
        <v>0.0</v>
      </c>
      <c r="R216" s="5" t="b">
        <v>0</v>
      </c>
      <c r="U216" s="5" t="s">
        <v>1507</v>
      </c>
      <c r="V216" s="5" t="s">
        <v>1508</v>
      </c>
      <c r="W216" s="5" t="s">
        <v>1508</v>
      </c>
      <c r="X216" s="5" t="s">
        <v>1509</v>
      </c>
      <c r="Z216" s="5">
        <v>1125.0</v>
      </c>
      <c r="AA216" s="5" t="s">
        <v>1627</v>
      </c>
      <c r="AB216" s="5">
        <v>375.0</v>
      </c>
      <c r="AC216" s="5" t="s">
        <v>1510</v>
      </c>
      <c r="AE216" s="5">
        <v>4102.0</v>
      </c>
      <c r="AF216" s="36">
        <v>46111.28432355324</v>
      </c>
    </row>
    <row r="217" ht="22.5" hidden="1" customHeight="1">
      <c r="A217" s="5" t="s">
        <v>1788</v>
      </c>
      <c r="B217" s="5" t="s">
        <v>1506</v>
      </c>
      <c r="C217" s="5" t="s">
        <v>640</v>
      </c>
      <c r="D217" s="5" t="s">
        <v>14</v>
      </c>
      <c r="E217" s="5">
        <v>9.841699311E9</v>
      </c>
      <c r="F217" s="5" t="s">
        <v>641</v>
      </c>
      <c r="H217" s="35">
        <v>40470.0</v>
      </c>
      <c r="I217" s="5" t="s">
        <v>156</v>
      </c>
      <c r="J217" s="5" t="s">
        <v>39</v>
      </c>
      <c r="K217" s="5" t="b">
        <v>0</v>
      </c>
      <c r="L217" s="5" t="b">
        <v>0</v>
      </c>
      <c r="N217" s="5">
        <v>3000.0</v>
      </c>
      <c r="O217" s="5">
        <v>0.0</v>
      </c>
      <c r="P217" s="5">
        <v>0.0</v>
      </c>
      <c r="R217" s="5" t="b">
        <v>0</v>
      </c>
      <c r="U217" s="5" t="s">
        <v>1514</v>
      </c>
      <c r="V217" s="5" t="s">
        <v>1508</v>
      </c>
      <c r="W217" s="5" t="s">
        <v>1508</v>
      </c>
      <c r="X217" s="5" t="s">
        <v>1509</v>
      </c>
      <c r="Z217" s="5">
        <v>3000.0</v>
      </c>
      <c r="AB217" s="5">
        <v>0.0</v>
      </c>
      <c r="AC217" s="5" t="s">
        <v>1510</v>
      </c>
      <c r="AD217" s="5" t="s">
        <v>1511</v>
      </c>
      <c r="AE217" s="5">
        <v>3238.0</v>
      </c>
      <c r="AF217" s="36">
        <v>46111.282014247685</v>
      </c>
    </row>
    <row r="218" ht="22.5" hidden="1" customHeight="1">
      <c r="A218" s="5" t="s">
        <v>1789</v>
      </c>
      <c r="B218" s="5" t="s">
        <v>1506</v>
      </c>
      <c r="C218" s="5" t="s">
        <v>642</v>
      </c>
      <c r="D218" s="5" t="s">
        <v>14</v>
      </c>
      <c r="E218" s="5">
        <v>9.816990716E9</v>
      </c>
      <c r="F218" s="5" t="s">
        <v>643</v>
      </c>
      <c r="H218" s="35">
        <v>38256.0</v>
      </c>
      <c r="I218" s="5" t="s">
        <v>156</v>
      </c>
      <c r="J218" s="5" t="s">
        <v>39</v>
      </c>
      <c r="K218" s="5" t="b">
        <v>0</v>
      </c>
      <c r="L218" s="5" t="b">
        <v>0</v>
      </c>
      <c r="N218" s="5">
        <v>3000.0</v>
      </c>
      <c r="O218" s="5">
        <v>0.0</v>
      </c>
      <c r="P218" s="5">
        <v>0.0</v>
      </c>
      <c r="R218" s="5" t="b">
        <v>0</v>
      </c>
      <c r="U218" s="5" t="s">
        <v>1517</v>
      </c>
      <c r="V218" s="5" t="s">
        <v>1508</v>
      </c>
      <c r="W218" s="5" t="s">
        <v>1548</v>
      </c>
      <c r="X218" s="5" t="s">
        <v>1509</v>
      </c>
      <c r="Z218" s="5">
        <v>2400.0</v>
      </c>
      <c r="AA218" s="5" t="s">
        <v>1591</v>
      </c>
      <c r="AB218" s="5">
        <v>600.0</v>
      </c>
      <c r="AC218" s="5" t="s">
        <v>1510</v>
      </c>
      <c r="AE218" s="5">
        <v>3137.0</v>
      </c>
      <c r="AF218" s="36">
        <v>46111.28175173611</v>
      </c>
      <c r="AG218" s="5" t="s">
        <v>1549</v>
      </c>
    </row>
    <row r="219" ht="22.5" customHeight="1">
      <c r="A219" s="5" t="s">
        <v>1790</v>
      </c>
      <c r="B219" s="5" t="s">
        <v>1506</v>
      </c>
      <c r="C219" s="5" t="s">
        <v>64</v>
      </c>
      <c r="D219" s="5" t="s">
        <v>14</v>
      </c>
      <c r="E219" s="5">
        <v>9.867935474E9</v>
      </c>
      <c r="F219" s="5" t="s">
        <v>65</v>
      </c>
      <c r="H219" s="35">
        <v>35692.0</v>
      </c>
      <c r="I219" s="5" t="s">
        <v>16</v>
      </c>
      <c r="J219" s="5" t="s">
        <v>17</v>
      </c>
      <c r="K219" s="5" t="b">
        <v>0</v>
      </c>
      <c r="L219" s="5" t="b">
        <v>0</v>
      </c>
      <c r="N219" s="5">
        <v>1500.0</v>
      </c>
      <c r="O219" s="5">
        <v>0.0</v>
      </c>
      <c r="P219" s="5">
        <v>0.0</v>
      </c>
      <c r="R219" s="5" t="b">
        <v>0</v>
      </c>
      <c r="U219" s="5" t="s">
        <v>1519</v>
      </c>
      <c r="V219" s="5" t="s">
        <v>1508</v>
      </c>
      <c r="W219" s="5" t="s">
        <v>1508</v>
      </c>
      <c r="X219" s="5" t="s">
        <v>1509</v>
      </c>
      <c r="Z219" s="5">
        <v>1125.0</v>
      </c>
      <c r="AA219" s="5" t="s">
        <v>1627</v>
      </c>
      <c r="AB219" s="5">
        <v>375.0</v>
      </c>
      <c r="AC219" s="5" t="s">
        <v>1510</v>
      </c>
      <c r="AE219" s="5">
        <v>4101.0</v>
      </c>
      <c r="AF219" s="36">
        <v>46111.272902627315</v>
      </c>
    </row>
    <row r="220" ht="22.5" customHeight="1">
      <c r="A220" s="5" t="s">
        <v>1791</v>
      </c>
      <c r="B220" s="5" t="s">
        <v>1506</v>
      </c>
      <c r="C220" s="5" t="s">
        <v>248</v>
      </c>
      <c r="D220" s="5" t="s">
        <v>14</v>
      </c>
      <c r="E220" s="25" t="s">
        <v>249</v>
      </c>
      <c r="F220" s="5" t="s">
        <v>250</v>
      </c>
      <c r="H220" s="35">
        <v>36888.0</v>
      </c>
      <c r="I220" s="5" t="s">
        <v>156</v>
      </c>
      <c r="J220" s="5" t="s">
        <v>17</v>
      </c>
      <c r="K220" s="5" t="b">
        <v>0</v>
      </c>
      <c r="L220" s="5" t="b">
        <v>0</v>
      </c>
      <c r="N220" s="5">
        <v>1500.0</v>
      </c>
      <c r="O220" s="5">
        <v>0.0</v>
      </c>
      <c r="P220" s="5">
        <v>0.0</v>
      </c>
      <c r="R220" s="5" t="b">
        <v>0</v>
      </c>
      <c r="U220" s="5" t="s">
        <v>1514</v>
      </c>
      <c r="V220" s="5" t="s">
        <v>1508</v>
      </c>
      <c r="W220" s="5" t="s">
        <v>1508</v>
      </c>
      <c r="X220" s="5" t="s">
        <v>1509</v>
      </c>
      <c r="Z220" s="5">
        <v>1125.0</v>
      </c>
      <c r="AA220" s="5" t="s">
        <v>1526</v>
      </c>
      <c r="AB220" s="5">
        <v>375.0</v>
      </c>
      <c r="AC220" s="5" t="s">
        <v>1510</v>
      </c>
      <c r="AE220" s="5">
        <v>4100.0</v>
      </c>
      <c r="AF220" s="36">
        <v>46111.12781222222</v>
      </c>
    </row>
    <row r="221" ht="22.5" customHeight="1">
      <c r="A221" s="5" t="s">
        <v>1792</v>
      </c>
      <c r="B221" s="5" t="s">
        <v>1506</v>
      </c>
      <c r="C221" s="5" t="s">
        <v>251</v>
      </c>
      <c r="D221" s="5" t="s">
        <v>14</v>
      </c>
      <c r="E221" s="25" t="s">
        <v>252</v>
      </c>
      <c r="F221" s="5" t="s">
        <v>253</v>
      </c>
      <c r="H221" s="35">
        <v>36802.0</v>
      </c>
      <c r="I221" s="5" t="s">
        <v>156</v>
      </c>
      <c r="J221" s="5" t="s">
        <v>17</v>
      </c>
      <c r="K221" s="5" t="b">
        <v>0</v>
      </c>
      <c r="L221" s="5" t="b">
        <v>0</v>
      </c>
      <c r="N221" s="5">
        <v>1500.0</v>
      </c>
      <c r="O221" s="5">
        <v>0.0</v>
      </c>
      <c r="P221" s="5">
        <v>0.0</v>
      </c>
      <c r="R221" s="5" t="b">
        <v>0</v>
      </c>
      <c r="U221" s="5" t="s">
        <v>1578</v>
      </c>
      <c r="V221" s="5" t="s">
        <v>1508</v>
      </c>
      <c r="W221" s="5" t="s">
        <v>1508</v>
      </c>
      <c r="X221" s="5" t="s">
        <v>1509</v>
      </c>
      <c r="Z221" s="5">
        <v>1125.0</v>
      </c>
      <c r="AA221" s="5" t="s">
        <v>1526</v>
      </c>
      <c r="AB221" s="5">
        <v>375.0</v>
      </c>
      <c r="AC221" s="5" t="s">
        <v>1510</v>
      </c>
      <c r="AE221" s="5">
        <v>4099.0</v>
      </c>
      <c r="AF221" s="36">
        <v>46111.11342008102</v>
      </c>
    </row>
    <row r="222" ht="22.5" hidden="1" customHeight="1">
      <c r="A222" s="5" t="s">
        <v>1793</v>
      </c>
      <c r="B222" s="5" t="s">
        <v>1506</v>
      </c>
      <c r="C222" s="5" t="s">
        <v>1253</v>
      </c>
      <c r="D222" s="5" t="s">
        <v>14</v>
      </c>
      <c r="E222" s="5">
        <v>9.860810611E9</v>
      </c>
      <c r="F222" s="5" t="s">
        <v>1254</v>
      </c>
      <c r="G222" s="5">
        <v>7209970.0</v>
      </c>
      <c r="H222" s="35">
        <v>36509.0</v>
      </c>
      <c r="I222" s="5" t="s">
        <v>156</v>
      </c>
      <c r="J222" s="5" t="s">
        <v>36</v>
      </c>
      <c r="K222" s="5" t="b">
        <v>0</v>
      </c>
      <c r="L222" s="5" t="b">
        <v>0</v>
      </c>
      <c r="N222" s="5">
        <v>12000.0</v>
      </c>
      <c r="O222" s="5">
        <v>0.0</v>
      </c>
      <c r="P222" s="5">
        <v>0.0</v>
      </c>
      <c r="R222" s="5" t="b">
        <v>0</v>
      </c>
      <c r="U222" s="5" t="s">
        <v>1519</v>
      </c>
      <c r="V222" s="5" t="s">
        <v>1508</v>
      </c>
      <c r="W222" s="5" t="s">
        <v>1508</v>
      </c>
      <c r="X222" s="5" t="s">
        <v>1509</v>
      </c>
      <c r="Z222" s="5">
        <v>9000.0</v>
      </c>
      <c r="AA222" s="5" t="s">
        <v>1556</v>
      </c>
      <c r="AB222" s="5">
        <v>3000.0</v>
      </c>
      <c r="AC222" s="5" t="s">
        <v>1510</v>
      </c>
      <c r="AD222" s="5" t="s">
        <v>1511</v>
      </c>
      <c r="AE222" s="5">
        <v>1059.0</v>
      </c>
      <c r="AF222" s="36">
        <v>46110.68694295139</v>
      </c>
    </row>
    <row r="223" ht="22.5" hidden="1" customHeight="1">
      <c r="A223" s="5" t="s">
        <v>1794</v>
      </c>
      <c r="B223" s="5" t="s">
        <v>1506</v>
      </c>
      <c r="C223" s="5" t="s">
        <v>989</v>
      </c>
      <c r="D223" s="5" t="s">
        <v>14</v>
      </c>
      <c r="E223" s="5">
        <v>9.841700302E9</v>
      </c>
      <c r="F223" s="5" t="s">
        <v>990</v>
      </c>
      <c r="H223" s="35">
        <v>38585.0</v>
      </c>
      <c r="I223" s="5" t="s">
        <v>156</v>
      </c>
      <c r="J223" s="5" t="s">
        <v>42</v>
      </c>
      <c r="K223" s="5" t="b">
        <v>0</v>
      </c>
      <c r="L223" s="5" t="b">
        <v>0</v>
      </c>
      <c r="N223" s="5">
        <v>7500.0</v>
      </c>
      <c r="O223" s="5">
        <v>0.0</v>
      </c>
      <c r="P223" s="5">
        <v>0.0</v>
      </c>
      <c r="R223" s="5" t="b">
        <v>0</v>
      </c>
      <c r="U223" s="5" t="s">
        <v>1514</v>
      </c>
      <c r="V223" s="5" t="s">
        <v>1508</v>
      </c>
      <c r="W223" s="5" t="s">
        <v>1508</v>
      </c>
      <c r="X223" s="5" t="s">
        <v>1509</v>
      </c>
      <c r="Z223" s="5">
        <v>5625.0</v>
      </c>
      <c r="AA223" s="5" t="s">
        <v>699</v>
      </c>
      <c r="AB223" s="5">
        <v>1875.0</v>
      </c>
      <c r="AC223" s="5" t="s">
        <v>1510</v>
      </c>
      <c r="AE223" s="5">
        <v>2098.0</v>
      </c>
      <c r="AF223" s="36">
        <v>46110.67075849537</v>
      </c>
    </row>
    <row r="224" ht="22.5" hidden="1" customHeight="1">
      <c r="A224" s="5" t="s">
        <v>1795</v>
      </c>
      <c r="B224" s="5" t="s">
        <v>1506</v>
      </c>
      <c r="C224" s="5" t="s">
        <v>644</v>
      </c>
      <c r="D224" s="5" t="s">
        <v>14</v>
      </c>
      <c r="E224" s="5">
        <v>9.768411099E9</v>
      </c>
      <c r="F224" s="5" t="s">
        <v>645</v>
      </c>
      <c r="H224" s="35">
        <v>39494.0</v>
      </c>
      <c r="I224" s="5" t="s">
        <v>156</v>
      </c>
      <c r="J224" s="5" t="s">
        <v>39</v>
      </c>
      <c r="K224" s="5" t="b">
        <v>0</v>
      </c>
      <c r="L224" s="5" t="b">
        <v>0</v>
      </c>
      <c r="N224" s="5">
        <v>3000.0</v>
      </c>
      <c r="O224" s="5">
        <v>0.0</v>
      </c>
      <c r="P224" s="5">
        <v>0.0</v>
      </c>
      <c r="R224" s="5" t="b">
        <v>0</v>
      </c>
      <c r="U224" s="5" t="s">
        <v>1517</v>
      </c>
      <c r="V224" s="5" t="s">
        <v>1508</v>
      </c>
      <c r="W224" s="5" t="s">
        <v>1508</v>
      </c>
      <c r="X224" s="5" t="s">
        <v>1509</v>
      </c>
      <c r="Z224" s="5">
        <v>2250.0</v>
      </c>
      <c r="AA224" s="5" t="s">
        <v>699</v>
      </c>
      <c r="AB224" s="5">
        <v>750.0</v>
      </c>
      <c r="AC224" s="5" t="s">
        <v>1510</v>
      </c>
      <c r="AE224" s="5">
        <v>3131.0</v>
      </c>
      <c r="AF224" s="36">
        <v>46110.667584027775</v>
      </c>
    </row>
    <row r="225" ht="22.5" hidden="1" customHeight="1">
      <c r="A225" s="5" t="s">
        <v>1796</v>
      </c>
      <c r="B225" s="5" t="s">
        <v>1506</v>
      </c>
      <c r="C225" s="5" t="s">
        <v>646</v>
      </c>
      <c r="D225" s="5" t="s">
        <v>14</v>
      </c>
      <c r="E225" s="5" t="s">
        <v>647</v>
      </c>
      <c r="F225" s="5" t="s">
        <v>648</v>
      </c>
      <c r="H225" s="35">
        <v>39377.0</v>
      </c>
      <c r="I225" s="5" t="s">
        <v>156</v>
      </c>
      <c r="J225" s="5" t="s">
        <v>39</v>
      </c>
      <c r="K225" s="5" t="b">
        <v>0</v>
      </c>
      <c r="L225" s="5" t="b">
        <v>0</v>
      </c>
      <c r="N225" s="5">
        <v>3000.0</v>
      </c>
      <c r="O225" s="5">
        <v>0.0</v>
      </c>
      <c r="P225" s="5">
        <v>0.0</v>
      </c>
      <c r="R225" s="5" t="b">
        <v>0</v>
      </c>
      <c r="U225" s="5" t="s">
        <v>1517</v>
      </c>
      <c r="V225" s="5" t="s">
        <v>1508</v>
      </c>
      <c r="W225" s="5" t="s">
        <v>1548</v>
      </c>
      <c r="X225" s="5" t="s">
        <v>1509</v>
      </c>
      <c r="Z225" s="5">
        <v>2250.0</v>
      </c>
      <c r="AA225" s="5" t="s">
        <v>699</v>
      </c>
      <c r="AB225" s="5">
        <v>750.0</v>
      </c>
      <c r="AC225" s="5" t="s">
        <v>1510</v>
      </c>
      <c r="AE225" s="5">
        <v>3136.0</v>
      </c>
      <c r="AF225" s="36">
        <v>46110.6675591088</v>
      </c>
      <c r="AG225" s="5" t="s">
        <v>1549</v>
      </c>
    </row>
    <row r="226" ht="22.5" hidden="1" customHeight="1">
      <c r="A226" s="5" t="s">
        <v>1797</v>
      </c>
      <c r="B226" s="5" t="s">
        <v>1506</v>
      </c>
      <c r="C226" s="5" t="s">
        <v>991</v>
      </c>
      <c r="D226" s="5" t="s">
        <v>14</v>
      </c>
      <c r="E226" s="25" t="s">
        <v>992</v>
      </c>
      <c r="F226" s="5" t="s">
        <v>993</v>
      </c>
      <c r="H226" s="35">
        <v>36865.0</v>
      </c>
      <c r="I226" s="5" t="s">
        <v>156</v>
      </c>
      <c r="J226" s="5" t="s">
        <v>42</v>
      </c>
      <c r="K226" s="5" t="b">
        <v>0</v>
      </c>
      <c r="L226" s="5" t="b">
        <v>0</v>
      </c>
      <c r="N226" s="5">
        <v>7500.0</v>
      </c>
      <c r="O226" s="5">
        <v>0.0</v>
      </c>
      <c r="P226" s="5">
        <v>0.0</v>
      </c>
      <c r="R226" s="5" t="b">
        <v>0</v>
      </c>
      <c r="U226" s="5" t="s">
        <v>1517</v>
      </c>
      <c r="V226" s="5" t="s">
        <v>1508</v>
      </c>
      <c r="W226" s="5" t="s">
        <v>1508</v>
      </c>
      <c r="X226" s="5" t="s">
        <v>1509</v>
      </c>
      <c r="Z226" s="5">
        <v>5625.0</v>
      </c>
      <c r="AA226" s="5" t="s">
        <v>699</v>
      </c>
      <c r="AB226" s="5">
        <v>1875.0</v>
      </c>
      <c r="AC226" s="5" t="s">
        <v>1510</v>
      </c>
      <c r="AE226" s="5">
        <v>2097.0</v>
      </c>
      <c r="AF226" s="36">
        <v>46110.66621255787</v>
      </c>
    </row>
    <row r="227" ht="22.5" hidden="1" customHeight="1">
      <c r="A227" s="5" t="s">
        <v>1798</v>
      </c>
      <c r="B227" s="5" t="s">
        <v>1506</v>
      </c>
      <c r="C227" s="5" t="s">
        <v>649</v>
      </c>
      <c r="D227" s="5" t="s">
        <v>14</v>
      </c>
      <c r="E227" s="5">
        <v>9.74181287E9</v>
      </c>
      <c r="F227" s="5" t="s">
        <v>650</v>
      </c>
      <c r="H227" s="35">
        <v>38753.0</v>
      </c>
      <c r="I227" s="5" t="s">
        <v>156</v>
      </c>
      <c r="J227" s="5" t="s">
        <v>39</v>
      </c>
      <c r="K227" s="5" t="b">
        <v>0</v>
      </c>
      <c r="L227" s="5" t="b">
        <v>0</v>
      </c>
      <c r="N227" s="5">
        <v>3000.0</v>
      </c>
      <c r="O227" s="5">
        <v>0.0</v>
      </c>
      <c r="P227" s="5">
        <v>0.0</v>
      </c>
      <c r="R227" s="5" t="b">
        <v>0</v>
      </c>
      <c r="U227" s="5" t="s">
        <v>1514</v>
      </c>
      <c r="V227" s="5" t="s">
        <v>1508</v>
      </c>
      <c r="W227" s="5" t="s">
        <v>1548</v>
      </c>
      <c r="X227" s="5" t="s">
        <v>1509</v>
      </c>
      <c r="Z227" s="5">
        <v>2250.0</v>
      </c>
      <c r="AA227" s="5" t="s">
        <v>699</v>
      </c>
      <c r="AB227" s="5">
        <v>750.0</v>
      </c>
      <c r="AC227" s="5" t="s">
        <v>1510</v>
      </c>
      <c r="AE227" s="5">
        <v>3130.0</v>
      </c>
      <c r="AF227" s="36">
        <v>46110.66482668981</v>
      </c>
      <c r="AG227" s="5" t="s">
        <v>1549</v>
      </c>
    </row>
    <row r="228" ht="22.5" hidden="1" customHeight="1">
      <c r="A228" s="5" t="s">
        <v>1799</v>
      </c>
      <c r="B228" s="5" t="s">
        <v>1506</v>
      </c>
      <c r="C228" s="5" t="s">
        <v>651</v>
      </c>
      <c r="D228" s="5" t="s">
        <v>14</v>
      </c>
      <c r="E228" s="5">
        <v>9.851021985E9</v>
      </c>
      <c r="F228" s="5" t="s">
        <v>652</v>
      </c>
      <c r="H228" s="35">
        <v>24801.0</v>
      </c>
      <c r="I228" s="5" t="s">
        <v>156</v>
      </c>
      <c r="J228" s="5" t="s">
        <v>39</v>
      </c>
      <c r="K228" s="5" t="b">
        <v>0</v>
      </c>
      <c r="L228" s="5" t="b">
        <v>0</v>
      </c>
      <c r="N228" s="5">
        <v>3000.0</v>
      </c>
      <c r="O228" s="5">
        <v>0.0</v>
      </c>
      <c r="P228" s="5">
        <v>0.0</v>
      </c>
      <c r="R228" s="5" t="b">
        <v>0</v>
      </c>
      <c r="U228" s="5" t="s">
        <v>1517</v>
      </c>
      <c r="V228" s="5" t="s">
        <v>1508</v>
      </c>
      <c r="W228" s="5" t="s">
        <v>1508</v>
      </c>
      <c r="X228" s="5" t="s">
        <v>1509</v>
      </c>
      <c r="Z228" s="5">
        <v>3000.0</v>
      </c>
      <c r="AB228" s="5">
        <v>0.0</v>
      </c>
      <c r="AC228" s="5" t="s">
        <v>1510</v>
      </c>
      <c r="AE228" s="5">
        <v>3129.0</v>
      </c>
      <c r="AF228" s="36">
        <v>46110.66219296296</v>
      </c>
    </row>
    <row r="229" ht="22.5" hidden="1" customHeight="1">
      <c r="A229" s="5" t="s">
        <v>1800</v>
      </c>
      <c r="B229" s="5" t="s">
        <v>1506</v>
      </c>
      <c r="C229" s="5" t="s">
        <v>1801</v>
      </c>
      <c r="D229" s="5" t="s">
        <v>14</v>
      </c>
      <c r="E229" s="25" t="s">
        <v>654</v>
      </c>
      <c r="F229" s="5" t="s">
        <v>655</v>
      </c>
      <c r="H229" s="35">
        <v>32593.0</v>
      </c>
      <c r="I229" s="5" t="s">
        <v>156</v>
      </c>
      <c r="J229" s="5" t="s">
        <v>39</v>
      </c>
      <c r="K229" s="5" t="b">
        <v>0</v>
      </c>
      <c r="L229" s="5" t="b">
        <v>0</v>
      </c>
      <c r="N229" s="5">
        <v>3000.0</v>
      </c>
      <c r="O229" s="5">
        <v>0.0</v>
      </c>
      <c r="P229" s="5">
        <v>0.0</v>
      </c>
      <c r="R229" s="5" t="b">
        <v>0</v>
      </c>
      <c r="U229" s="5" t="s">
        <v>1514</v>
      </c>
      <c r="V229" s="5" t="s">
        <v>1508</v>
      </c>
      <c r="W229" s="5" t="s">
        <v>1508</v>
      </c>
      <c r="X229" s="5" t="s">
        <v>1509</v>
      </c>
      <c r="Z229" s="5">
        <v>2250.0</v>
      </c>
      <c r="AA229" s="5" t="s">
        <v>699</v>
      </c>
      <c r="AB229" s="5">
        <v>750.0</v>
      </c>
      <c r="AC229" s="5" t="s">
        <v>1510</v>
      </c>
      <c r="AE229" s="5">
        <v>3123.0</v>
      </c>
      <c r="AF229" s="36">
        <v>46110.64947325231</v>
      </c>
    </row>
    <row r="230" ht="22.5" hidden="1" customHeight="1">
      <c r="A230" s="5" t="s">
        <v>1802</v>
      </c>
      <c r="B230" s="5" t="s">
        <v>1506</v>
      </c>
      <c r="C230" s="5" t="s">
        <v>994</v>
      </c>
      <c r="D230" s="5" t="s">
        <v>14</v>
      </c>
      <c r="E230" s="25" t="s">
        <v>995</v>
      </c>
      <c r="F230" s="5" t="s">
        <v>996</v>
      </c>
      <c r="H230" s="35">
        <v>39385.0</v>
      </c>
      <c r="I230" s="5" t="s">
        <v>156</v>
      </c>
      <c r="J230" s="5" t="s">
        <v>42</v>
      </c>
      <c r="K230" s="5" t="b">
        <v>0</v>
      </c>
      <c r="L230" s="5" t="b">
        <v>0</v>
      </c>
      <c r="N230" s="5">
        <v>7500.0</v>
      </c>
      <c r="O230" s="5">
        <v>0.0</v>
      </c>
      <c r="P230" s="5">
        <v>0.0</v>
      </c>
      <c r="R230" s="5" t="b">
        <v>0</v>
      </c>
      <c r="U230" s="5" t="s">
        <v>1519</v>
      </c>
      <c r="V230" s="5" t="s">
        <v>1508</v>
      </c>
      <c r="W230" s="5" t="s">
        <v>1508</v>
      </c>
      <c r="X230" s="5" t="s">
        <v>1509</v>
      </c>
      <c r="Z230" s="5">
        <v>5625.0</v>
      </c>
      <c r="AA230" s="5" t="s">
        <v>1526</v>
      </c>
      <c r="AB230" s="5">
        <v>1875.0</v>
      </c>
      <c r="AC230" s="5" t="s">
        <v>1510</v>
      </c>
      <c r="AE230" s="5">
        <v>2091.0</v>
      </c>
      <c r="AF230" s="36">
        <v>46110.64763752315</v>
      </c>
    </row>
    <row r="231" ht="22.5" hidden="1" customHeight="1">
      <c r="A231" s="5" t="s">
        <v>1803</v>
      </c>
      <c r="B231" s="5" t="s">
        <v>1506</v>
      </c>
      <c r="C231" s="5" t="s">
        <v>1804</v>
      </c>
      <c r="D231" s="5" t="s">
        <v>137</v>
      </c>
      <c r="E231" s="5">
        <v>9.761424559E9</v>
      </c>
      <c r="F231" s="5" t="s">
        <v>844</v>
      </c>
      <c r="H231" s="35">
        <v>31235.0</v>
      </c>
      <c r="I231" s="5" t="s">
        <v>156</v>
      </c>
      <c r="J231" s="5" t="s">
        <v>39</v>
      </c>
      <c r="K231" s="5" t="b">
        <v>0</v>
      </c>
      <c r="L231" s="5" t="b">
        <v>0</v>
      </c>
      <c r="N231" s="5">
        <v>25.0</v>
      </c>
      <c r="O231" s="5">
        <v>0.0</v>
      </c>
      <c r="P231" s="5">
        <v>0.0</v>
      </c>
      <c r="R231" s="5" t="b">
        <v>0</v>
      </c>
      <c r="U231" s="5" t="s">
        <v>1517</v>
      </c>
      <c r="V231" s="5" t="s">
        <v>1508</v>
      </c>
      <c r="W231" s="5" t="s">
        <v>1508</v>
      </c>
      <c r="X231" s="5" t="s">
        <v>1509</v>
      </c>
      <c r="Z231" s="5">
        <v>25.0</v>
      </c>
      <c r="AB231" s="5">
        <v>0.0</v>
      </c>
      <c r="AC231" s="5" t="s">
        <v>1546</v>
      </c>
      <c r="AD231" s="5" t="s">
        <v>1511</v>
      </c>
      <c r="AE231" s="5">
        <v>3120.0</v>
      </c>
      <c r="AF231" s="36">
        <v>46110.578205833335</v>
      </c>
    </row>
    <row r="232" ht="22.5" hidden="1" customHeight="1">
      <c r="A232" s="5" t="s">
        <v>1805</v>
      </c>
      <c r="B232" s="5" t="s">
        <v>1506</v>
      </c>
      <c r="C232" s="5" t="s">
        <v>656</v>
      </c>
      <c r="D232" s="5" t="s">
        <v>14</v>
      </c>
      <c r="E232" s="5">
        <v>9.744235645E9</v>
      </c>
      <c r="F232" s="5" t="s">
        <v>657</v>
      </c>
      <c r="G232" s="5">
        <v>7207478.0</v>
      </c>
      <c r="H232" s="35">
        <v>36797.0</v>
      </c>
      <c r="I232" s="5" t="s">
        <v>156</v>
      </c>
      <c r="J232" s="5" t="s">
        <v>39</v>
      </c>
      <c r="K232" s="5" t="b">
        <v>0</v>
      </c>
      <c r="L232" s="5" t="b">
        <v>0</v>
      </c>
      <c r="N232" s="5">
        <v>3000.0</v>
      </c>
      <c r="O232" s="5">
        <v>0.0</v>
      </c>
      <c r="P232" s="5">
        <v>0.0</v>
      </c>
      <c r="R232" s="5" t="b">
        <v>0</v>
      </c>
      <c r="U232" s="5" t="s">
        <v>1517</v>
      </c>
      <c r="V232" s="5" t="s">
        <v>1508</v>
      </c>
      <c r="W232" s="5" t="s">
        <v>1508</v>
      </c>
      <c r="X232" s="5" t="s">
        <v>1509</v>
      </c>
      <c r="Z232" s="5">
        <v>2250.0</v>
      </c>
      <c r="AA232" s="5" t="s">
        <v>1526</v>
      </c>
      <c r="AB232" s="5">
        <v>750.0</v>
      </c>
      <c r="AC232" s="5" t="s">
        <v>1510</v>
      </c>
      <c r="AE232" s="5">
        <v>3119.0</v>
      </c>
      <c r="AF232" s="36">
        <v>46110.5531634375</v>
      </c>
    </row>
    <row r="233" ht="22.5" hidden="1" customHeight="1">
      <c r="A233" s="5" t="s">
        <v>1806</v>
      </c>
      <c r="B233" s="5" t="s">
        <v>1506</v>
      </c>
      <c r="C233" s="5" t="s">
        <v>997</v>
      </c>
      <c r="D233" s="5" t="s">
        <v>14</v>
      </c>
      <c r="E233" s="5">
        <v>9.762364068E9</v>
      </c>
      <c r="F233" s="5" t="s">
        <v>998</v>
      </c>
      <c r="H233" s="35">
        <v>37749.0</v>
      </c>
      <c r="I233" s="5" t="s">
        <v>156</v>
      </c>
      <c r="J233" s="5" t="s">
        <v>42</v>
      </c>
      <c r="K233" s="5" t="b">
        <v>0</v>
      </c>
      <c r="L233" s="5" t="b">
        <v>0</v>
      </c>
      <c r="N233" s="5">
        <v>7500.0</v>
      </c>
      <c r="O233" s="5">
        <v>0.0</v>
      </c>
      <c r="P233" s="5">
        <v>0.0</v>
      </c>
      <c r="R233" s="5" t="b">
        <v>0</v>
      </c>
      <c r="U233" s="5" t="s">
        <v>1519</v>
      </c>
      <c r="V233" s="5" t="s">
        <v>1508</v>
      </c>
      <c r="W233" s="5" t="s">
        <v>1548</v>
      </c>
      <c r="X233" s="5" t="s">
        <v>1509</v>
      </c>
      <c r="Z233" s="5">
        <v>7500.0</v>
      </c>
      <c r="AB233" s="5">
        <v>0.0</v>
      </c>
      <c r="AC233" s="5" t="s">
        <v>1510</v>
      </c>
      <c r="AD233" s="5" t="s">
        <v>1511</v>
      </c>
      <c r="AE233" s="5">
        <v>2092.0</v>
      </c>
      <c r="AF233" s="36">
        <v>46110.508414675925</v>
      </c>
      <c r="AG233" s="5" t="s">
        <v>1549</v>
      </c>
    </row>
    <row r="234" ht="22.5" hidden="1" customHeight="1">
      <c r="A234" s="5" t="s">
        <v>1807</v>
      </c>
      <c r="B234" s="5" t="s">
        <v>1506</v>
      </c>
      <c r="C234" s="5" t="s">
        <v>853</v>
      </c>
      <c r="D234" s="5" t="s">
        <v>495</v>
      </c>
      <c r="E234" s="25" t="s">
        <v>496</v>
      </c>
      <c r="F234" s="5" t="s">
        <v>854</v>
      </c>
      <c r="H234" s="35">
        <v>32884.0</v>
      </c>
      <c r="I234" s="5" t="s">
        <v>156</v>
      </c>
      <c r="J234" s="5" t="s">
        <v>39</v>
      </c>
      <c r="K234" s="5" t="b">
        <v>0</v>
      </c>
      <c r="L234" s="5" t="b">
        <v>0</v>
      </c>
      <c r="N234" s="5">
        <v>25.0</v>
      </c>
      <c r="O234" s="5">
        <v>0.0</v>
      </c>
      <c r="P234" s="5">
        <v>0.0</v>
      </c>
      <c r="R234" s="5" t="b">
        <v>0</v>
      </c>
      <c r="U234" s="5" t="s">
        <v>1578</v>
      </c>
      <c r="V234" s="5" t="s">
        <v>1508</v>
      </c>
      <c r="W234" s="5" t="s">
        <v>1508</v>
      </c>
      <c r="X234" s="5" t="s">
        <v>1509</v>
      </c>
      <c r="Z234" s="5">
        <v>25.0</v>
      </c>
      <c r="AB234" s="5">
        <v>0.0</v>
      </c>
      <c r="AC234" s="5" t="s">
        <v>1546</v>
      </c>
      <c r="AD234" s="5" t="s">
        <v>1511</v>
      </c>
      <c r="AE234" s="5">
        <v>3121.0</v>
      </c>
      <c r="AF234" s="36">
        <v>46110.42324423611</v>
      </c>
    </row>
    <row r="235" ht="22.5" hidden="1" customHeight="1">
      <c r="A235" s="5" t="s">
        <v>1808</v>
      </c>
      <c r="B235" s="5" t="s">
        <v>1506</v>
      </c>
      <c r="C235" s="5" t="s">
        <v>494</v>
      </c>
      <c r="D235" s="5" t="s">
        <v>495</v>
      </c>
      <c r="E235" s="25" t="s">
        <v>496</v>
      </c>
      <c r="F235" s="5" t="s">
        <v>497</v>
      </c>
      <c r="H235" s="35">
        <v>32780.0</v>
      </c>
      <c r="I235" s="5" t="s">
        <v>16</v>
      </c>
      <c r="J235" s="5" t="s">
        <v>39</v>
      </c>
      <c r="K235" s="5" t="b">
        <v>0</v>
      </c>
      <c r="L235" s="5" t="b">
        <v>0</v>
      </c>
      <c r="N235" s="5">
        <v>25.0</v>
      </c>
      <c r="O235" s="5">
        <v>0.0</v>
      </c>
      <c r="P235" s="5">
        <v>0.0</v>
      </c>
      <c r="R235" s="5" t="b">
        <v>0</v>
      </c>
      <c r="U235" s="5" t="s">
        <v>1514</v>
      </c>
      <c r="V235" s="5" t="s">
        <v>1508</v>
      </c>
      <c r="W235" s="5" t="s">
        <v>1508</v>
      </c>
      <c r="X235" s="5" t="s">
        <v>1509</v>
      </c>
      <c r="Z235" s="5">
        <v>25.0</v>
      </c>
      <c r="AB235" s="5">
        <v>0.0</v>
      </c>
      <c r="AC235" s="5" t="s">
        <v>1546</v>
      </c>
      <c r="AD235" s="5" t="s">
        <v>1511</v>
      </c>
      <c r="AE235" s="5">
        <v>3122.0</v>
      </c>
      <c r="AF235" s="36">
        <v>46110.4202306713</v>
      </c>
    </row>
    <row r="236" ht="22.5" customHeight="1">
      <c r="A236" s="5" t="s">
        <v>1809</v>
      </c>
      <c r="B236" s="5" t="s">
        <v>1506</v>
      </c>
      <c r="C236" s="5" t="s">
        <v>67</v>
      </c>
      <c r="D236" s="5" t="s">
        <v>14</v>
      </c>
      <c r="E236" s="5">
        <v>9.851123179E9</v>
      </c>
      <c r="F236" s="5" t="s">
        <v>68</v>
      </c>
      <c r="H236" s="35">
        <v>33490.0</v>
      </c>
      <c r="I236" s="5" t="s">
        <v>16</v>
      </c>
      <c r="J236" s="5" t="s">
        <v>17</v>
      </c>
      <c r="K236" s="5" t="b">
        <v>0</v>
      </c>
      <c r="L236" s="5" t="b">
        <v>0</v>
      </c>
      <c r="N236" s="5">
        <v>1500.0</v>
      </c>
      <c r="O236" s="5">
        <v>0.0</v>
      </c>
      <c r="P236" s="5">
        <v>0.0</v>
      </c>
      <c r="R236" s="5" t="b">
        <v>0</v>
      </c>
      <c r="U236" s="5" t="s">
        <v>1519</v>
      </c>
      <c r="V236" s="5" t="s">
        <v>1508</v>
      </c>
      <c r="W236" s="5" t="s">
        <v>1508</v>
      </c>
      <c r="X236" s="5" t="s">
        <v>1509</v>
      </c>
      <c r="Z236" s="5">
        <v>1125.0</v>
      </c>
      <c r="AA236" s="5" t="s">
        <v>1556</v>
      </c>
      <c r="AB236" s="5">
        <v>375.0</v>
      </c>
      <c r="AC236" s="5" t="s">
        <v>1510</v>
      </c>
      <c r="AE236" s="5">
        <v>4094.0</v>
      </c>
      <c r="AF236" s="36">
        <v>46110.41055635417</v>
      </c>
    </row>
    <row r="237" ht="22.5" customHeight="1">
      <c r="A237" s="5" t="s">
        <v>1810</v>
      </c>
      <c r="B237" s="5" t="s">
        <v>1506</v>
      </c>
      <c r="C237" s="5" t="s">
        <v>1811</v>
      </c>
      <c r="D237" s="5" t="s">
        <v>14</v>
      </c>
      <c r="E237" s="25" t="s">
        <v>71</v>
      </c>
      <c r="F237" s="5" t="s">
        <v>72</v>
      </c>
      <c r="H237" s="35">
        <v>29936.0</v>
      </c>
      <c r="I237" s="5" t="s">
        <v>16</v>
      </c>
      <c r="J237" s="5" t="s">
        <v>17</v>
      </c>
      <c r="K237" s="5" t="b">
        <v>0</v>
      </c>
      <c r="L237" s="5" t="b">
        <v>0</v>
      </c>
      <c r="N237" s="5">
        <v>1500.0</v>
      </c>
      <c r="O237" s="5">
        <v>0.0</v>
      </c>
      <c r="P237" s="5">
        <v>0.0</v>
      </c>
      <c r="R237" s="5" t="b">
        <v>0</v>
      </c>
      <c r="U237" s="5" t="s">
        <v>1519</v>
      </c>
      <c r="V237" s="5" t="s">
        <v>1508</v>
      </c>
      <c r="W237" s="5" t="s">
        <v>1548</v>
      </c>
      <c r="X237" s="5" t="s">
        <v>1509</v>
      </c>
      <c r="Z237" s="5">
        <v>1125.0</v>
      </c>
      <c r="AA237" s="5" t="s">
        <v>1556</v>
      </c>
      <c r="AB237" s="5">
        <v>375.0</v>
      </c>
      <c r="AC237" s="5" t="s">
        <v>1510</v>
      </c>
      <c r="AE237" s="5">
        <v>4093.0</v>
      </c>
      <c r="AF237" s="36">
        <v>46110.40733375</v>
      </c>
      <c r="AG237" s="5" t="s">
        <v>1549</v>
      </c>
    </row>
    <row r="238" ht="22.5" hidden="1" customHeight="1">
      <c r="A238" s="5" t="s">
        <v>1812</v>
      </c>
      <c r="B238" s="5" t="s">
        <v>1506</v>
      </c>
      <c r="C238" s="5" t="s">
        <v>1813</v>
      </c>
      <c r="D238" s="5" t="s">
        <v>14</v>
      </c>
      <c r="E238" s="25" t="s">
        <v>659</v>
      </c>
      <c r="F238" s="5" t="s">
        <v>660</v>
      </c>
      <c r="H238" s="35">
        <v>35313.0</v>
      </c>
      <c r="I238" s="5" t="s">
        <v>156</v>
      </c>
      <c r="J238" s="5" t="s">
        <v>39</v>
      </c>
      <c r="K238" s="5" t="b">
        <v>0</v>
      </c>
      <c r="L238" s="5" t="b">
        <v>0</v>
      </c>
      <c r="N238" s="5">
        <v>3000.0</v>
      </c>
      <c r="O238" s="5">
        <v>0.0</v>
      </c>
      <c r="P238" s="5">
        <v>0.0</v>
      </c>
      <c r="R238" s="5" t="b">
        <v>0</v>
      </c>
      <c r="U238" s="5" t="s">
        <v>1519</v>
      </c>
      <c r="V238" s="5" t="s">
        <v>1508</v>
      </c>
      <c r="W238" s="5" t="s">
        <v>1508</v>
      </c>
      <c r="X238" s="5" t="s">
        <v>1509</v>
      </c>
      <c r="Z238" s="5">
        <v>2250.0</v>
      </c>
      <c r="AA238" s="5" t="s">
        <v>1814</v>
      </c>
      <c r="AB238" s="5">
        <v>750.0</v>
      </c>
      <c r="AC238" s="5" t="s">
        <v>1510</v>
      </c>
      <c r="AE238" s="5">
        <v>3114.0</v>
      </c>
      <c r="AF238" s="36">
        <v>46110.36863579861</v>
      </c>
    </row>
    <row r="239" ht="22.5" hidden="1" customHeight="1">
      <c r="A239" s="5" t="s">
        <v>1815</v>
      </c>
      <c r="B239" s="5" t="s">
        <v>1506</v>
      </c>
      <c r="C239" s="5" t="s">
        <v>1816</v>
      </c>
      <c r="D239" s="5" t="s">
        <v>14</v>
      </c>
      <c r="E239" s="25" t="s">
        <v>1389</v>
      </c>
      <c r="F239" s="5" t="s">
        <v>1390</v>
      </c>
      <c r="H239" s="35">
        <v>31659.0</v>
      </c>
      <c r="I239" s="5" t="s">
        <v>156</v>
      </c>
      <c r="J239" s="5" t="s">
        <v>46</v>
      </c>
      <c r="K239" s="5" t="b">
        <v>0</v>
      </c>
      <c r="L239" s="5" t="b">
        <v>0</v>
      </c>
      <c r="N239" s="5">
        <v>9000.0</v>
      </c>
      <c r="O239" s="5">
        <v>0.0</v>
      </c>
      <c r="P239" s="5">
        <v>0.0</v>
      </c>
      <c r="R239" s="5" t="b">
        <v>0</v>
      </c>
      <c r="U239" s="5" t="s">
        <v>1514</v>
      </c>
      <c r="V239" s="5" t="s">
        <v>1508</v>
      </c>
      <c r="W239" s="5" t="s">
        <v>1508</v>
      </c>
      <c r="X239" s="5" t="s">
        <v>1509</v>
      </c>
      <c r="Z239" s="5">
        <v>6750.0</v>
      </c>
      <c r="AA239" s="5" t="s">
        <v>1814</v>
      </c>
      <c r="AB239" s="5">
        <v>2250.0</v>
      </c>
      <c r="AC239" s="5" t="s">
        <v>1510</v>
      </c>
      <c r="AE239" s="5">
        <v>1530.0</v>
      </c>
      <c r="AF239" s="36">
        <v>46110.36579159722</v>
      </c>
    </row>
    <row r="240" ht="22.5" hidden="1" customHeight="1">
      <c r="A240" s="5" t="s">
        <v>1817</v>
      </c>
      <c r="B240" s="5" t="s">
        <v>1506</v>
      </c>
      <c r="C240" s="5" t="s">
        <v>868</v>
      </c>
      <c r="D240" s="5" t="s">
        <v>14</v>
      </c>
      <c r="E240" s="5">
        <v>9.823606791E9</v>
      </c>
      <c r="F240" s="5" t="s">
        <v>1077</v>
      </c>
      <c r="G240" s="5">
        <v>6930391.0</v>
      </c>
      <c r="H240" s="35">
        <v>36375.0</v>
      </c>
      <c r="I240" s="5" t="s">
        <v>156</v>
      </c>
      <c r="J240" s="5" t="s">
        <v>42</v>
      </c>
      <c r="K240" s="5" t="b">
        <v>0</v>
      </c>
      <c r="L240" s="5" t="b">
        <v>0</v>
      </c>
      <c r="N240" s="5">
        <v>7500.0</v>
      </c>
      <c r="O240" s="5">
        <v>0.0</v>
      </c>
      <c r="P240" s="5">
        <v>0.0</v>
      </c>
      <c r="R240" s="5" t="b">
        <v>0</v>
      </c>
      <c r="U240" s="5" t="s">
        <v>1514</v>
      </c>
      <c r="V240" s="5" t="s">
        <v>1508</v>
      </c>
      <c r="W240" s="5" t="s">
        <v>1508</v>
      </c>
      <c r="X240" s="5" t="s">
        <v>1509</v>
      </c>
      <c r="Z240" s="5">
        <v>5625.0</v>
      </c>
      <c r="AA240" s="5" t="s">
        <v>1526</v>
      </c>
      <c r="AB240" s="5">
        <v>1875.0</v>
      </c>
      <c r="AC240" s="5" t="s">
        <v>1510</v>
      </c>
      <c r="AE240" s="5">
        <v>2090.0</v>
      </c>
      <c r="AF240" s="36">
        <v>46110.363397395835</v>
      </c>
    </row>
    <row r="241" ht="22.5" hidden="1" customHeight="1">
      <c r="A241" s="5" t="s">
        <v>1818</v>
      </c>
      <c r="B241" s="5" t="s">
        <v>1506</v>
      </c>
      <c r="C241" s="5" t="s">
        <v>1819</v>
      </c>
      <c r="D241" s="5" t="s">
        <v>14</v>
      </c>
      <c r="E241" s="25" t="s">
        <v>662</v>
      </c>
      <c r="F241" s="5" t="s">
        <v>663</v>
      </c>
      <c r="H241" s="35">
        <v>33161.0</v>
      </c>
      <c r="I241" s="5" t="s">
        <v>156</v>
      </c>
      <c r="J241" s="5" t="s">
        <v>39</v>
      </c>
      <c r="K241" s="5" t="b">
        <v>0</v>
      </c>
      <c r="L241" s="5" t="b">
        <v>0</v>
      </c>
      <c r="N241" s="5">
        <v>3000.0</v>
      </c>
      <c r="O241" s="5">
        <v>0.0</v>
      </c>
      <c r="P241" s="5">
        <v>0.0</v>
      </c>
      <c r="R241" s="5" t="b">
        <v>0</v>
      </c>
      <c r="U241" s="5" t="s">
        <v>1578</v>
      </c>
      <c r="V241" s="5" t="s">
        <v>1508</v>
      </c>
      <c r="W241" s="5" t="s">
        <v>1508</v>
      </c>
      <c r="X241" s="5" t="s">
        <v>1509</v>
      </c>
      <c r="Z241" s="5">
        <v>2250.0</v>
      </c>
      <c r="AA241" s="5" t="s">
        <v>1814</v>
      </c>
      <c r="AB241" s="5">
        <v>750.0</v>
      </c>
      <c r="AC241" s="5" t="s">
        <v>1510</v>
      </c>
      <c r="AE241" s="5">
        <v>3113.0</v>
      </c>
      <c r="AF241" s="36">
        <v>46110.35995320602</v>
      </c>
    </row>
    <row r="242" ht="22.5" hidden="1" customHeight="1">
      <c r="A242" s="5" t="s">
        <v>1820</v>
      </c>
      <c r="B242" s="5" t="s">
        <v>1506</v>
      </c>
      <c r="C242" s="5" t="s">
        <v>999</v>
      </c>
      <c r="D242" s="5" t="s">
        <v>14</v>
      </c>
      <c r="E242" s="5">
        <v>9.804257789E9</v>
      </c>
      <c r="F242" s="5" t="s">
        <v>1000</v>
      </c>
      <c r="G242" s="5">
        <v>6930381.0</v>
      </c>
      <c r="H242" s="35">
        <v>34785.0</v>
      </c>
      <c r="I242" s="5" t="s">
        <v>156</v>
      </c>
      <c r="J242" s="5" t="s">
        <v>42</v>
      </c>
      <c r="K242" s="5" t="b">
        <v>0</v>
      </c>
      <c r="L242" s="5" t="b">
        <v>0</v>
      </c>
      <c r="N242" s="5">
        <v>7500.0</v>
      </c>
      <c r="O242" s="5">
        <v>0.0</v>
      </c>
      <c r="P242" s="5">
        <v>0.0</v>
      </c>
      <c r="R242" s="5" t="b">
        <v>0</v>
      </c>
      <c r="U242" s="5" t="s">
        <v>1517</v>
      </c>
      <c r="V242" s="5" t="s">
        <v>1508</v>
      </c>
      <c r="W242" s="5" t="s">
        <v>1548</v>
      </c>
      <c r="X242" s="5" t="s">
        <v>1509</v>
      </c>
      <c r="Z242" s="5">
        <v>5625.0</v>
      </c>
      <c r="AA242" s="5" t="s">
        <v>1526</v>
      </c>
      <c r="AB242" s="5">
        <v>1875.0</v>
      </c>
      <c r="AC242" s="5" t="s">
        <v>1510</v>
      </c>
      <c r="AE242" s="5">
        <v>2089.0</v>
      </c>
      <c r="AF242" s="36">
        <v>46110.35776304398</v>
      </c>
      <c r="AG242" s="5" t="s">
        <v>1549</v>
      </c>
    </row>
    <row r="243" ht="22.5" hidden="1" customHeight="1">
      <c r="A243" s="5" t="s">
        <v>1821</v>
      </c>
      <c r="B243" s="5" t="s">
        <v>1506</v>
      </c>
      <c r="C243" s="5" t="s">
        <v>1822</v>
      </c>
      <c r="D243" s="5" t="s">
        <v>14</v>
      </c>
      <c r="E243" s="25" t="s">
        <v>1392</v>
      </c>
      <c r="F243" s="5" t="s">
        <v>1393</v>
      </c>
      <c r="H243" s="35">
        <v>30963.0</v>
      </c>
      <c r="I243" s="5" t="s">
        <v>156</v>
      </c>
      <c r="J243" s="5" t="s">
        <v>46</v>
      </c>
      <c r="K243" s="5" t="b">
        <v>0</v>
      </c>
      <c r="L243" s="5" t="b">
        <v>0</v>
      </c>
      <c r="N243" s="5">
        <v>9000.0</v>
      </c>
      <c r="O243" s="5">
        <v>0.0</v>
      </c>
      <c r="P243" s="5">
        <v>0.0</v>
      </c>
      <c r="R243" s="5" t="b">
        <v>0</v>
      </c>
      <c r="U243" s="5" t="s">
        <v>1514</v>
      </c>
      <c r="V243" s="5" t="s">
        <v>1508</v>
      </c>
      <c r="W243" s="5" t="s">
        <v>1508</v>
      </c>
      <c r="X243" s="5" t="s">
        <v>1509</v>
      </c>
      <c r="Z243" s="5">
        <v>6750.0</v>
      </c>
      <c r="AA243" s="5" t="s">
        <v>1814</v>
      </c>
      <c r="AB243" s="5">
        <v>2250.0</v>
      </c>
      <c r="AC243" s="5" t="s">
        <v>1510</v>
      </c>
      <c r="AE243" s="5">
        <v>1529.0</v>
      </c>
      <c r="AF243" s="36">
        <v>46110.348448055556</v>
      </c>
    </row>
    <row r="244" ht="22.5" hidden="1" customHeight="1">
      <c r="A244" s="5" t="s">
        <v>1823</v>
      </c>
      <c r="B244" s="5" t="s">
        <v>1506</v>
      </c>
      <c r="C244" s="5" t="s">
        <v>1824</v>
      </c>
      <c r="D244" s="5" t="s">
        <v>14</v>
      </c>
      <c r="E244" s="25" t="s">
        <v>1395</v>
      </c>
      <c r="F244" s="5" t="s">
        <v>1396</v>
      </c>
      <c r="H244" s="35">
        <v>27818.0</v>
      </c>
      <c r="I244" s="5" t="s">
        <v>156</v>
      </c>
      <c r="J244" s="5" t="s">
        <v>46</v>
      </c>
      <c r="K244" s="5" t="b">
        <v>0</v>
      </c>
      <c r="L244" s="5" t="b">
        <v>0</v>
      </c>
      <c r="N244" s="5">
        <v>9000.0</v>
      </c>
      <c r="O244" s="5">
        <v>0.0</v>
      </c>
      <c r="P244" s="5">
        <v>0.0</v>
      </c>
      <c r="R244" s="5" t="b">
        <v>0</v>
      </c>
      <c r="U244" s="5" t="s">
        <v>1517</v>
      </c>
      <c r="V244" s="5" t="s">
        <v>1508</v>
      </c>
      <c r="W244" s="5" t="s">
        <v>1508</v>
      </c>
      <c r="X244" s="5" t="s">
        <v>1509</v>
      </c>
      <c r="Z244" s="5">
        <v>6750.0</v>
      </c>
      <c r="AA244" s="5" t="s">
        <v>1814</v>
      </c>
      <c r="AB244" s="5">
        <v>2250.0</v>
      </c>
      <c r="AC244" s="5" t="s">
        <v>1510</v>
      </c>
      <c r="AE244" s="5">
        <v>1528.0</v>
      </c>
      <c r="AF244" s="36">
        <v>46110.34159130787</v>
      </c>
    </row>
    <row r="245" ht="22.5" hidden="1" customHeight="1">
      <c r="A245" s="5" t="s">
        <v>1825</v>
      </c>
      <c r="B245" s="5" t="s">
        <v>1506</v>
      </c>
      <c r="C245" s="5" t="s">
        <v>1826</v>
      </c>
      <c r="D245" s="5" t="s">
        <v>14</v>
      </c>
      <c r="E245" s="5">
        <v>9.81334983E8</v>
      </c>
      <c r="F245" s="5" t="s">
        <v>1002</v>
      </c>
      <c r="H245" s="35">
        <v>36567.0</v>
      </c>
      <c r="I245" s="5" t="s">
        <v>156</v>
      </c>
      <c r="J245" s="5" t="s">
        <v>42</v>
      </c>
      <c r="K245" s="5" t="b">
        <v>0</v>
      </c>
      <c r="L245" s="5" t="b">
        <v>0</v>
      </c>
      <c r="N245" s="5">
        <v>7500.0</v>
      </c>
      <c r="O245" s="5">
        <v>0.0</v>
      </c>
      <c r="P245" s="5">
        <v>0.0</v>
      </c>
      <c r="R245" s="5" t="b">
        <v>0</v>
      </c>
      <c r="U245" s="5" t="s">
        <v>1514</v>
      </c>
      <c r="V245" s="5" t="s">
        <v>1508</v>
      </c>
      <c r="W245" s="5" t="s">
        <v>1508</v>
      </c>
      <c r="X245" s="5" t="s">
        <v>1509</v>
      </c>
      <c r="Z245" s="5">
        <v>5625.0</v>
      </c>
      <c r="AA245" s="5" t="s">
        <v>1814</v>
      </c>
      <c r="AB245" s="5">
        <v>1875.0</v>
      </c>
      <c r="AC245" s="5" t="s">
        <v>1510</v>
      </c>
      <c r="AE245" s="5">
        <v>2088.0</v>
      </c>
      <c r="AF245" s="36">
        <v>46110.334725381945</v>
      </c>
    </row>
    <row r="246" ht="22.5" hidden="1" customHeight="1">
      <c r="A246" s="5" t="s">
        <v>1827</v>
      </c>
      <c r="B246" s="5" t="s">
        <v>1506</v>
      </c>
      <c r="C246" s="5" t="s">
        <v>1828</v>
      </c>
      <c r="D246" s="5" t="s">
        <v>14</v>
      </c>
      <c r="E246" s="25" t="s">
        <v>665</v>
      </c>
      <c r="F246" s="5" t="s">
        <v>663</v>
      </c>
      <c r="H246" s="35">
        <v>32145.0</v>
      </c>
      <c r="I246" s="5" t="s">
        <v>156</v>
      </c>
      <c r="J246" s="5" t="s">
        <v>39</v>
      </c>
      <c r="K246" s="5" t="b">
        <v>0</v>
      </c>
      <c r="L246" s="5" t="b">
        <v>0</v>
      </c>
      <c r="N246" s="5">
        <v>3000.0</v>
      </c>
      <c r="O246" s="5">
        <v>0.0</v>
      </c>
      <c r="P246" s="5">
        <v>0.0</v>
      </c>
      <c r="R246" s="5" t="b">
        <v>0</v>
      </c>
      <c r="U246" s="5" t="s">
        <v>1517</v>
      </c>
      <c r="V246" s="5" t="s">
        <v>1508</v>
      </c>
      <c r="W246" s="5" t="s">
        <v>1508</v>
      </c>
      <c r="X246" s="5" t="s">
        <v>1509</v>
      </c>
      <c r="Z246" s="5">
        <v>2250.0</v>
      </c>
      <c r="AA246" s="5" t="s">
        <v>1814</v>
      </c>
      <c r="AB246" s="5">
        <v>750.0</v>
      </c>
      <c r="AC246" s="5" t="s">
        <v>1510</v>
      </c>
      <c r="AE246" s="5">
        <v>3111.0</v>
      </c>
      <c r="AF246" s="36">
        <v>46110.285979699074</v>
      </c>
    </row>
    <row r="247" ht="22.5" customHeight="1">
      <c r="A247" s="5" t="s">
        <v>1829</v>
      </c>
      <c r="B247" s="5" t="s">
        <v>1506</v>
      </c>
      <c r="C247" s="5" t="s">
        <v>74</v>
      </c>
      <c r="D247" s="5" t="s">
        <v>14</v>
      </c>
      <c r="E247" s="5">
        <v>9.829226557E9</v>
      </c>
      <c r="F247" s="5" t="s">
        <v>75</v>
      </c>
      <c r="H247" s="35">
        <v>26189.0</v>
      </c>
      <c r="I247" s="5" t="s">
        <v>16</v>
      </c>
      <c r="J247" s="5" t="s">
        <v>17</v>
      </c>
      <c r="K247" s="5" t="b">
        <v>0</v>
      </c>
      <c r="L247" s="5" t="b">
        <v>0</v>
      </c>
      <c r="N247" s="5">
        <v>1500.0</v>
      </c>
      <c r="O247" s="5">
        <v>0.0</v>
      </c>
      <c r="P247" s="5">
        <v>0.0</v>
      </c>
      <c r="R247" s="5" t="b">
        <v>0</v>
      </c>
      <c r="U247" s="5" t="s">
        <v>1517</v>
      </c>
      <c r="V247" s="5" t="s">
        <v>1508</v>
      </c>
      <c r="W247" s="5" t="s">
        <v>1548</v>
      </c>
      <c r="X247" s="5" t="s">
        <v>1509</v>
      </c>
      <c r="Z247" s="5">
        <v>1500.0</v>
      </c>
      <c r="AB247" s="5">
        <v>0.0</v>
      </c>
      <c r="AC247" s="5" t="s">
        <v>1510</v>
      </c>
      <c r="AE247" s="5">
        <v>4092.0</v>
      </c>
      <c r="AF247" s="36">
        <v>46110.101207824075</v>
      </c>
      <c r="AG247" s="5" t="s">
        <v>1549</v>
      </c>
    </row>
    <row r="248" ht="22.5" customHeight="1">
      <c r="A248" s="5" t="s">
        <v>1830</v>
      </c>
      <c r="B248" s="5" t="s">
        <v>1506</v>
      </c>
      <c r="C248" s="5" t="s">
        <v>77</v>
      </c>
      <c r="D248" s="5" t="s">
        <v>14</v>
      </c>
      <c r="E248" s="5">
        <v>9.861220983E9</v>
      </c>
      <c r="F248" s="5" t="s">
        <v>78</v>
      </c>
      <c r="H248" s="35">
        <v>26884.0</v>
      </c>
      <c r="I248" s="5" t="s">
        <v>16</v>
      </c>
      <c r="J248" s="5" t="s">
        <v>17</v>
      </c>
      <c r="K248" s="5" t="b">
        <v>0</v>
      </c>
      <c r="L248" s="5" t="b">
        <v>0</v>
      </c>
      <c r="N248" s="5">
        <v>1500.0</v>
      </c>
      <c r="O248" s="5">
        <v>0.0</v>
      </c>
      <c r="P248" s="5">
        <v>0.0</v>
      </c>
      <c r="R248" s="5" t="b">
        <v>0</v>
      </c>
      <c r="U248" s="5" t="s">
        <v>1507</v>
      </c>
      <c r="V248" s="5" t="s">
        <v>1508</v>
      </c>
      <c r="W248" s="5" t="s">
        <v>1508</v>
      </c>
      <c r="X248" s="5" t="s">
        <v>1509</v>
      </c>
      <c r="Z248" s="5">
        <v>1500.0</v>
      </c>
      <c r="AB248" s="5">
        <v>0.0</v>
      </c>
      <c r="AC248" s="5" t="s">
        <v>1510</v>
      </c>
      <c r="AE248" s="5">
        <v>4091.0</v>
      </c>
      <c r="AF248" s="36">
        <v>46110.096351782406</v>
      </c>
    </row>
    <row r="249" ht="22.5" customHeight="1">
      <c r="A249" s="5" t="s">
        <v>1831</v>
      </c>
      <c r="B249" s="5" t="s">
        <v>1506</v>
      </c>
      <c r="C249" s="5" t="s">
        <v>254</v>
      </c>
      <c r="D249" s="5" t="s">
        <v>14</v>
      </c>
      <c r="E249" s="25" t="s">
        <v>255</v>
      </c>
      <c r="F249" s="5" t="s">
        <v>256</v>
      </c>
      <c r="H249" s="35">
        <v>37149.0</v>
      </c>
      <c r="I249" s="5" t="s">
        <v>156</v>
      </c>
      <c r="J249" s="5" t="s">
        <v>17</v>
      </c>
      <c r="K249" s="5" t="b">
        <v>0</v>
      </c>
      <c r="L249" s="5" t="b">
        <v>0</v>
      </c>
      <c r="N249" s="5">
        <v>1500.0</v>
      </c>
      <c r="O249" s="5">
        <v>0.0</v>
      </c>
      <c r="P249" s="5">
        <v>0.0</v>
      </c>
      <c r="R249" s="5" t="b">
        <v>0</v>
      </c>
      <c r="U249" s="5" t="s">
        <v>1519</v>
      </c>
      <c r="V249" s="5" t="s">
        <v>1508</v>
      </c>
      <c r="W249" s="5" t="s">
        <v>1508</v>
      </c>
      <c r="X249" s="5" t="s">
        <v>1509</v>
      </c>
      <c r="Z249" s="5">
        <v>1500.0</v>
      </c>
      <c r="AB249" s="5">
        <v>0.0</v>
      </c>
      <c r="AC249" s="5" t="s">
        <v>1510</v>
      </c>
      <c r="AE249" s="5">
        <v>4090.0</v>
      </c>
      <c r="AF249" s="36">
        <v>46109.73625707176</v>
      </c>
    </row>
    <row r="250" ht="22.5" customHeight="1">
      <c r="A250" s="5" t="s">
        <v>1832</v>
      </c>
      <c r="B250" s="5" t="s">
        <v>1506</v>
      </c>
      <c r="C250" s="5" t="s">
        <v>146</v>
      </c>
      <c r="D250" s="5" t="s">
        <v>147</v>
      </c>
      <c r="E250" s="25" t="s">
        <v>148</v>
      </c>
      <c r="F250" s="5" t="s">
        <v>149</v>
      </c>
      <c r="H250" s="35">
        <v>33190.0</v>
      </c>
      <c r="I250" s="5" t="s">
        <v>16</v>
      </c>
      <c r="J250" s="5" t="s">
        <v>17</v>
      </c>
      <c r="K250" s="5" t="b">
        <v>0</v>
      </c>
      <c r="L250" s="5" t="b">
        <v>0</v>
      </c>
      <c r="N250" s="5">
        <v>1500.0</v>
      </c>
      <c r="O250" s="5">
        <v>0.0</v>
      </c>
      <c r="P250" s="5">
        <v>0.0</v>
      </c>
      <c r="R250" s="5" t="b">
        <v>0</v>
      </c>
      <c r="U250" s="5" t="s">
        <v>1514</v>
      </c>
      <c r="V250" s="5" t="s">
        <v>1508</v>
      </c>
      <c r="W250" s="5" t="s">
        <v>1508</v>
      </c>
      <c r="X250" s="5" t="s">
        <v>1509</v>
      </c>
      <c r="Z250" s="5">
        <v>1500.0</v>
      </c>
      <c r="AB250" s="5">
        <v>0.0</v>
      </c>
      <c r="AC250" s="5" t="s">
        <v>1510</v>
      </c>
      <c r="AE250" s="5">
        <v>4087.0</v>
      </c>
      <c r="AF250" s="36">
        <v>46109.68559592593</v>
      </c>
    </row>
    <row r="251" ht="22.5" hidden="1" customHeight="1">
      <c r="A251" s="5" t="s">
        <v>1833</v>
      </c>
      <c r="B251" s="5" t="s">
        <v>1506</v>
      </c>
      <c r="C251" s="5" t="s">
        <v>666</v>
      </c>
      <c r="D251" s="5" t="s">
        <v>14</v>
      </c>
      <c r="E251" s="5">
        <v>9.866014893E9</v>
      </c>
      <c r="F251" s="5" t="s">
        <v>667</v>
      </c>
      <c r="H251" s="35">
        <v>36683.0</v>
      </c>
      <c r="I251" s="5" t="s">
        <v>156</v>
      </c>
      <c r="J251" s="5" t="s">
        <v>39</v>
      </c>
      <c r="K251" s="5" t="b">
        <v>0</v>
      </c>
      <c r="L251" s="5" t="b">
        <v>0</v>
      </c>
      <c r="N251" s="5">
        <v>3000.0</v>
      </c>
      <c r="O251" s="5">
        <v>0.0</v>
      </c>
      <c r="P251" s="5">
        <v>0.0</v>
      </c>
      <c r="R251" s="5" t="b">
        <v>0</v>
      </c>
      <c r="U251" s="5" t="s">
        <v>1519</v>
      </c>
      <c r="V251" s="5" t="s">
        <v>1508</v>
      </c>
      <c r="W251" s="5" t="s">
        <v>1548</v>
      </c>
      <c r="X251" s="5" t="s">
        <v>1509</v>
      </c>
      <c r="Z251" s="5">
        <v>2250.0</v>
      </c>
      <c r="AA251" s="5" t="s">
        <v>1526</v>
      </c>
      <c r="AB251" s="5">
        <v>750.0</v>
      </c>
      <c r="AC251" s="5" t="s">
        <v>1510</v>
      </c>
      <c r="AE251" s="5">
        <v>3110.0</v>
      </c>
      <c r="AF251" s="36">
        <v>46109.68064085648</v>
      </c>
      <c r="AG251" s="5" t="s">
        <v>1549</v>
      </c>
    </row>
    <row r="252" ht="22.5" hidden="1" customHeight="1">
      <c r="A252" s="5" t="s">
        <v>1834</v>
      </c>
      <c r="B252" s="5" t="s">
        <v>1506</v>
      </c>
      <c r="C252" s="5" t="s">
        <v>668</v>
      </c>
      <c r="D252" s="5" t="s">
        <v>14</v>
      </c>
      <c r="E252" s="5">
        <v>9.767255328E9</v>
      </c>
      <c r="F252" s="5" t="s">
        <v>669</v>
      </c>
      <c r="H252" s="35">
        <v>35764.0</v>
      </c>
      <c r="I252" s="5" t="s">
        <v>156</v>
      </c>
      <c r="J252" s="5" t="s">
        <v>39</v>
      </c>
      <c r="K252" s="5" t="b">
        <v>0</v>
      </c>
      <c r="L252" s="5" t="b">
        <v>0</v>
      </c>
      <c r="N252" s="5">
        <v>3000.0</v>
      </c>
      <c r="O252" s="5">
        <v>0.0</v>
      </c>
      <c r="P252" s="5">
        <v>0.0</v>
      </c>
      <c r="R252" s="5" t="b">
        <v>0</v>
      </c>
      <c r="U252" s="5" t="s">
        <v>1519</v>
      </c>
      <c r="V252" s="5" t="s">
        <v>1508</v>
      </c>
      <c r="W252" s="5" t="s">
        <v>1548</v>
      </c>
      <c r="X252" s="5" t="s">
        <v>1509</v>
      </c>
      <c r="Z252" s="5">
        <v>2250.0</v>
      </c>
      <c r="AA252" s="5" t="s">
        <v>1526</v>
      </c>
      <c r="AB252" s="5">
        <v>750.0</v>
      </c>
      <c r="AC252" s="5" t="s">
        <v>1510</v>
      </c>
      <c r="AE252" s="5">
        <v>3109.0</v>
      </c>
      <c r="AF252" s="36">
        <v>46109.67817924768</v>
      </c>
      <c r="AG252" s="5" t="s">
        <v>1549</v>
      </c>
    </row>
    <row r="253" ht="22.5" hidden="1" customHeight="1">
      <c r="A253" s="5" t="s">
        <v>1835</v>
      </c>
      <c r="B253" s="5" t="s">
        <v>1506</v>
      </c>
      <c r="C253" s="5" t="s">
        <v>1836</v>
      </c>
      <c r="D253" s="5" t="s">
        <v>14</v>
      </c>
      <c r="E253" s="5">
        <v>9.86443979E8</v>
      </c>
      <c r="F253" s="5" t="s">
        <v>1398</v>
      </c>
      <c r="G253" s="5" t="s">
        <v>1399</v>
      </c>
      <c r="H253" s="35">
        <v>36330.0</v>
      </c>
      <c r="I253" s="5" t="s">
        <v>156</v>
      </c>
      <c r="J253" s="5" t="s">
        <v>46</v>
      </c>
      <c r="K253" s="5" t="b">
        <v>0</v>
      </c>
      <c r="L253" s="5" t="b">
        <v>0</v>
      </c>
      <c r="N253" s="5">
        <v>9000.0</v>
      </c>
      <c r="O253" s="5">
        <v>0.0</v>
      </c>
      <c r="P253" s="5">
        <v>0.0</v>
      </c>
      <c r="R253" s="5" t="b">
        <v>0</v>
      </c>
      <c r="U253" s="5" t="s">
        <v>1519</v>
      </c>
      <c r="V253" s="5" t="s">
        <v>1508</v>
      </c>
      <c r="W253" s="5" t="s">
        <v>1508</v>
      </c>
      <c r="X253" s="5" t="s">
        <v>1509</v>
      </c>
      <c r="Z253" s="5">
        <v>0.0</v>
      </c>
      <c r="AA253" s="5" t="s">
        <v>779</v>
      </c>
      <c r="AB253" s="5">
        <v>9000.0</v>
      </c>
      <c r="AC253" s="5" t="s">
        <v>1510</v>
      </c>
      <c r="AD253" s="5" t="s">
        <v>1511</v>
      </c>
      <c r="AE253" s="5">
        <v>1531.0</v>
      </c>
      <c r="AF253" s="36">
        <v>46109.63290815972</v>
      </c>
    </row>
    <row r="254" ht="22.5" customHeight="1">
      <c r="A254" s="5" t="s">
        <v>1837</v>
      </c>
      <c r="B254" s="5" t="s">
        <v>1506</v>
      </c>
      <c r="C254" s="5" t="s">
        <v>79</v>
      </c>
      <c r="D254" s="5" t="s">
        <v>14</v>
      </c>
      <c r="E254" s="5">
        <v>9.803132936E9</v>
      </c>
      <c r="F254" s="5" t="s">
        <v>80</v>
      </c>
      <c r="H254" s="35">
        <v>36817.0</v>
      </c>
      <c r="I254" s="5" t="s">
        <v>16</v>
      </c>
      <c r="J254" s="5" t="s">
        <v>17</v>
      </c>
      <c r="K254" s="5" t="b">
        <v>0</v>
      </c>
      <c r="L254" s="5" t="b">
        <v>0</v>
      </c>
      <c r="N254" s="5">
        <v>1500.0</v>
      </c>
      <c r="O254" s="5">
        <v>0.0</v>
      </c>
      <c r="P254" s="5">
        <v>0.0</v>
      </c>
      <c r="R254" s="5" t="b">
        <v>0</v>
      </c>
      <c r="U254" s="5" t="s">
        <v>1519</v>
      </c>
      <c r="V254" s="5" t="s">
        <v>1508</v>
      </c>
      <c r="W254" s="5" t="s">
        <v>1508</v>
      </c>
      <c r="X254" s="5" t="s">
        <v>1509</v>
      </c>
      <c r="Z254" s="5">
        <v>1500.0</v>
      </c>
      <c r="AB254" s="5">
        <v>0.0</v>
      </c>
      <c r="AC254" s="5" t="s">
        <v>1510</v>
      </c>
      <c r="AE254" s="5">
        <v>4083.0</v>
      </c>
      <c r="AF254" s="36">
        <v>46109.63228855324</v>
      </c>
    </row>
    <row r="255" ht="22.5" hidden="1" customHeight="1">
      <c r="A255" s="5" t="s">
        <v>1838</v>
      </c>
      <c r="B255" s="5" t="s">
        <v>1506</v>
      </c>
      <c r="C255" s="5" t="s">
        <v>1003</v>
      </c>
      <c r="D255" s="5" t="s">
        <v>14</v>
      </c>
      <c r="E255" s="5">
        <v>9.851125922E9</v>
      </c>
      <c r="F255" s="5" t="s">
        <v>1004</v>
      </c>
      <c r="G255" s="5">
        <v>5072074.0</v>
      </c>
      <c r="H255" s="35">
        <v>28808.0</v>
      </c>
      <c r="I255" s="5" t="s">
        <v>156</v>
      </c>
      <c r="J255" s="5" t="s">
        <v>42</v>
      </c>
      <c r="K255" s="5" t="b">
        <v>0</v>
      </c>
      <c r="L255" s="5" t="b">
        <v>0</v>
      </c>
      <c r="N255" s="5">
        <v>7500.0</v>
      </c>
      <c r="O255" s="5">
        <v>0.0</v>
      </c>
      <c r="P255" s="5">
        <v>0.0</v>
      </c>
      <c r="R255" s="5" t="b">
        <v>0</v>
      </c>
      <c r="U255" s="5" t="s">
        <v>1517</v>
      </c>
      <c r="V255" s="5" t="s">
        <v>1508</v>
      </c>
      <c r="W255" s="5" t="s">
        <v>1508</v>
      </c>
      <c r="X255" s="5" t="s">
        <v>1509</v>
      </c>
      <c r="Z255" s="5">
        <v>6000.0</v>
      </c>
      <c r="AA255" s="5" t="s">
        <v>1591</v>
      </c>
      <c r="AB255" s="5">
        <v>1500.0</v>
      </c>
      <c r="AC255" s="5" t="s">
        <v>1510</v>
      </c>
      <c r="AE255" s="5">
        <v>2086.0</v>
      </c>
      <c r="AF255" s="36">
        <v>46109.6206090625</v>
      </c>
    </row>
    <row r="256" ht="22.5" hidden="1" customHeight="1">
      <c r="A256" s="5" t="s">
        <v>1839</v>
      </c>
      <c r="B256" s="5" t="s">
        <v>1506</v>
      </c>
      <c r="C256" s="5" t="s">
        <v>440</v>
      </c>
      <c r="D256" s="5" t="s">
        <v>14</v>
      </c>
      <c r="E256" s="5">
        <v>9.808429768E9</v>
      </c>
      <c r="F256" s="5" t="s">
        <v>441</v>
      </c>
      <c r="H256" s="35">
        <v>36093.0</v>
      </c>
      <c r="I256" s="5" t="s">
        <v>16</v>
      </c>
      <c r="J256" s="5" t="s">
        <v>39</v>
      </c>
      <c r="K256" s="5" t="b">
        <v>0</v>
      </c>
      <c r="L256" s="5" t="b">
        <v>0</v>
      </c>
      <c r="N256" s="5">
        <v>3000.0</v>
      </c>
      <c r="O256" s="5">
        <v>0.0</v>
      </c>
      <c r="P256" s="5">
        <v>0.0</v>
      </c>
      <c r="R256" s="5" t="b">
        <v>0</v>
      </c>
      <c r="U256" s="5" t="s">
        <v>1517</v>
      </c>
      <c r="V256" s="5" t="s">
        <v>1508</v>
      </c>
      <c r="W256" s="5" t="s">
        <v>1548</v>
      </c>
      <c r="X256" s="5" t="s">
        <v>1509</v>
      </c>
      <c r="Z256" s="5">
        <v>3000.0</v>
      </c>
      <c r="AB256" s="5">
        <v>0.0</v>
      </c>
      <c r="AC256" s="5" t="s">
        <v>1510</v>
      </c>
      <c r="AE256" s="5">
        <v>3108.0</v>
      </c>
      <c r="AF256" s="36">
        <v>46109.48404400463</v>
      </c>
      <c r="AG256" s="5" t="s">
        <v>1549</v>
      </c>
    </row>
    <row r="257" ht="22.5" hidden="1" customHeight="1">
      <c r="A257" s="5" t="s">
        <v>1840</v>
      </c>
      <c r="B257" s="5" t="s">
        <v>1506</v>
      </c>
      <c r="C257" s="5" t="s">
        <v>670</v>
      </c>
      <c r="D257" s="5" t="s">
        <v>14</v>
      </c>
      <c r="E257" s="25" t="s">
        <v>671</v>
      </c>
      <c r="F257" s="5" t="s">
        <v>672</v>
      </c>
      <c r="G257" s="5">
        <v>7199397.0</v>
      </c>
      <c r="H257" s="35">
        <v>31161.0</v>
      </c>
      <c r="I257" s="5" t="s">
        <v>156</v>
      </c>
      <c r="J257" s="5" t="s">
        <v>39</v>
      </c>
      <c r="K257" s="5" t="b">
        <v>0</v>
      </c>
      <c r="L257" s="5" t="b">
        <v>0</v>
      </c>
      <c r="N257" s="5">
        <v>3000.0</v>
      </c>
      <c r="O257" s="5">
        <v>0.0</v>
      </c>
      <c r="P257" s="5">
        <v>0.0</v>
      </c>
      <c r="R257" s="5" t="b">
        <v>0</v>
      </c>
      <c r="U257" s="5" t="s">
        <v>1517</v>
      </c>
      <c r="V257" s="5" t="s">
        <v>1508</v>
      </c>
      <c r="W257" s="5" t="s">
        <v>1508</v>
      </c>
      <c r="X257" s="5" t="s">
        <v>1509</v>
      </c>
      <c r="Z257" s="5">
        <v>2250.0</v>
      </c>
      <c r="AA257" s="5" t="s">
        <v>1556</v>
      </c>
      <c r="AB257" s="5">
        <v>750.0</v>
      </c>
      <c r="AC257" s="5" t="s">
        <v>1510</v>
      </c>
      <c r="AE257" s="5">
        <v>3107.0</v>
      </c>
      <c r="AF257" s="36">
        <v>46109.4667494213</v>
      </c>
    </row>
    <row r="258" ht="22.5" hidden="1" customHeight="1">
      <c r="A258" s="5" t="s">
        <v>1841</v>
      </c>
      <c r="B258" s="5" t="s">
        <v>1506</v>
      </c>
      <c r="C258" s="5" t="s">
        <v>473</v>
      </c>
      <c r="D258" s="5" t="s">
        <v>474</v>
      </c>
      <c r="E258" s="25" t="s">
        <v>475</v>
      </c>
      <c r="F258" s="5" t="s">
        <v>476</v>
      </c>
      <c r="H258" s="35">
        <v>36545.0</v>
      </c>
      <c r="I258" s="5" t="s">
        <v>16</v>
      </c>
      <c r="J258" s="5" t="s">
        <v>39</v>
      </c>
      <c r="K258" s="5" t="b">
        <v>0</v>
      </c>
      <c r="L258" s="5" t="b">
        <v>0</v>
      </c>
      <c r="N258" s="5">
        <v>25.0</v>
      </c>
      <c r="O258" s="5">
        <v>0.0</v>
      </c>
      <c r="P258" s="5">
        <v>0.0</v>
      </c>
      <c r="R258" s="5" t="b">
        <v>0</v>
      </c>
      <c r="U258" s="5" t="s">
        <v>1519</v>
      </c>
      <c r="V258" s="5" t="s">
        <v>1508</v>
      </c>
      <c r="W258" s="5" t="s">
        <v>1508</v>
      </c>
      <c r="X258" s="5" t="s">
        <v>1509</v>
      </c>
      <c r="Z258" s="5">
        <v>25.0</v>
      </c>
      <c r="AB258" s="5">
        <v>0.0</v>
      </c>
      <c r="AC258" s="5" t="s">
        <v>1546</v>
      </c>
      <c r="AD258" s="5" t="s">
        <v>1511</v>
      </c>
      <c r="AE258" s="5">
        <v>3124.0</v>
      </c>
      <c r="AF258" s="36">
        <v>46108.869276875</v>
      </c>
    </row>
    <row r="259" ht="22.5" hidden="1" customHeight="1">
      <c r="A259" s="5" t="s">
        <v>1842</v>
      </c>
      <c r="B259" s="5" t="s">
        <v>1506</v>
      </c>
      <c r="C259" s="5" t="s">
        <v>848</v>
      </c>
      <c r="D259" s="5" t="s">
        <v>849</v>
      </c>
      <c r="E259" s="25" t="s">
        <v>475</v>
      </c>
      <c r="F259" s="5" t="s">
        <v>476</v>
      </c>
      <c r="H259" s="35">
        <v>37487.0</v>
      </c>
      <c r="I259" s="5" t="s">
        <v>156</v>
      </c>
      <c r="J259" s="5" t="s">
        <v>39</v>
      </c>
      <c r="K259" s="5" t="b">
        <v>0</v>
      </c>
      <c r="L259" s="5" t="b">
        <v>0</v>
      </c>
      <c r="N259" s="5">
        <v>25.0</v>
      </c>
      <c r="O259" s="5">
        <v>0.0</v>
      </c>
      <c r="P259" s="5">
        <v>0.0</v>
      </c>
      <c r="R259" s="5" t="b">
        <v>0</v>
      </c>
      <c r="U259" s="5" t="s">
        <v>1578</v>
      </c>
      <c r="V259" s="5" t="s">
        <v>1508</v>
      </c>
      <c r="W259" s="5" t="s">
        <v>1508</v>
      </c>
      <c r="X259" s="5" t="s">
        <v>1509</v>
      </c>
      <c r="Z259" s="5">
        <v>25.0</v>
      </c>
      <c r="AB259" s="5">
        <v>0.0</v>
      </c>
      <c r="AC259" s="5" t="s">
        <v>1546</v>
      </c>
      <c r="AD259" s="5" t="s">
        <v>1511</v>
      </c>
      <c r="AE259" s="5">
        <v>3125.0</v>
      </c>
      <c r="AF259" s="36">
        <v>46108.86634690972</v>
      </c>
    </row>
    <row r="260" ht="22.5" hidden="1" customHeight="1">
      <c r="A260" s="5" t="s">
        <v>1843</v>
      </c>
      <c r="B260" s="5" t="s">
        <v>1506</v>
      </c>
      <c r="C260" s="5" t="s">
        <v>1116</v>
      </c>
      <c r="D260" s="5" t="s">
        <v>904</v>
      </c>
      <c r="E260" s="25" t="s">
        <v>1117</v>
      </c>
      <c r="F260" s="5" t="s">
        <v>1118</v>
      </c>
      <c r="G260" s="5">
        <v>7199741.0</v>
      </c>
      <c r="H260" s="35">
        <v>35036.0</v>
      </c>
      <c r="I260" s="5" t="s">
        <v>156</v>
      </c>
      <c r="J260" s="5" t="s">
        <v>42</v>
      </c>
      <c r="K260" s="5" t="b">
        <v>0</v>
      </c>
      <c r="L260" s="5" t="b">
        <v>0</v>
      </c>
      <c r="N260" s="5">
        <v>7500.0</v>
      </c>
      <c r="O260" s="5">
        <v>0.0</v>
      </c>
      <c r="P260" s="5">
        <v>0.0</v>
      </c>
      <c r="R260" s="5" t="b">
        <v>0</v>
      </c>
      <c r="U260" s="5" t="s">
        <v>1519</v>
      </c>
      <c r="V260" s="5" t="s">
        <v>1508</v>
      </c>
      <c r="W260" s="5" t="s">
        <v>1508</v>
      </c>
      <c r="X260" s="5" t="s">
        <v>1509</v>
      </c>
      <c r="Z260" s="5">
        <v>5625.0</v>
      </c>
      <c r="AA260" s="5" t="s">
        <v>1649</v>
      </c>
      <c r="AB260" s="5">
        <v>1875.0</v>
      </c>
      <c r="AC260" s="5" t="s">
        <v>1510</v>
      </c>
      <c r="AE260" s="5">
        <v>2085.0</v>
      </c>
      <c r="AF260" s="36">
        <v>46108.67770714121</v>
      </c>
    </row>
    <row r="261" ht="22.5" hidden="1" customHeight="1">
      <c r="A261" s="5" t="s">
        <v>1844</v>
      </c>
      <c r="B261" s="5" t="s">
        <v>1506</v>
      </c>
      <c r="C261" s="5" t="s">
        <v>1400</v>
      </c>
      <c r="D261" s="5" t="s">
        <v>14</v>
      </c>
      <c r="E261" s="5">
        <v>9.823143429E9</v>
      </c>
      <c r="F261" s="5" t="s">
        <v>1401</v>
      </c>
      <c r="H261" s="35">
        <v>39225.0</v>
      </c>
      <c r="I261" s="5" t="s">
        <v>156</v>
      </c>
      <c r="J261" s="5" t="s">
        <v>46</v>
      </c>
      <c r="K261" s="5" t="b">
        <v>0</v>
      </c>
      <c r="L261" s="5" t="b">
        <v>0</v>
      </c>
      <c r="N261" s="5">
        <v>9000.0</v>
      </c>
      <c r="O261" s="5">
        <v>0.0</v>
      </c>
      <c r="P261" s="5">
        <v>0.0</v>
      </c>
      <c r="R261" s="5" t="b">
        <v>0</v>
      </c>
      <c r="U261" s="5" t="s">
        <v>1514</v>
      </c>
      <c r="V261" s="5" t="s">
        <v>1508</v>
      </c>
      <c r="W261" s="5" t="s">
        <v>1508</v>
      </c>
      <c r="X261" s="5" t="s">
        <v>1509</v>
      </c>
      <c r="Z261" s="5">
        <v>6750.0</v>
      </c>
      <c r="AA261" s="5" t="s">
        <v>1526</v>
      </c>
      <c r="AB261" s="5">
        <v>2250.0</v>
      </c>
      <c r="AC261" s="5" t="s">
        <v>1510</v>
      </c>
      <c r="AE261" s="5">
        <v>1527.0</v>
      </c>
      <c r="AF261" s="36">
        <v>46108.67240733797</v>
      </c>
    </row>
    <row r="262" ht="22.5" hidden="1" customHeight="1">
      <c r="A262" s="5" t="s">
        <v>1845</v>
      </c>
      <c r="B262" s="5" t="s">
        <v>1506</v>
      </c>
      <c r="C262" s="5" t="s">
        <v>1005</v>
      </c>
      <c r="D262" s="5" t="s">
        <v>14</v>
      </c>
      <c r="E262" s="5">
        <v>9.762364068E9</v>
      </c>
      <c r="F262" s="5" t="s">
        <v>1006</v>
      </c>
      <c r="G262" s="5">
        <v>6079079.0</v>
      </c>
      <c r="H262" s="35">
        <v>38012.0</v>
      </c>
      <c r="I262" s="5" t="s">
        <v>156</v>
      </c>
      <c r="J262" s="5" t="s">
        <v>42</v>
      </c>
      <c r="K262" s="5" t="b">
        <v>0</v>
      </c>
      <c r="L262" s="5" t="b">
        <v>0</v>
      </c>
      <c r="N262" s="5">
        <v>7500.0</v>
      </c>
      <c r="O262" s="5">
        <v>0.0</v>
      </c>
      <c r="P262" s="5">
        <v>0.0</v>
      </c>
      <c r="R262" s="5" t="b">
        <v>0</v>
      </c>
      <c r="U262" s="5" t="s">
        <v>1519</v>
      </c>
      <c r="V262" s="5" t="s">
        <v>1508</v>
      </c>
      <c r="W262" s="5" t="s">
        <v>1548</v>
      </c>
      <c r="X262" s="5" t="s">
        <v>1509</v>
      </c>
      <c r="Z262" s="5">
        <v>7500.0</v>
      </c>
      <c r="AB262" s="5">
        <v>0.0</v>
      </c>
      <c r="AC262" s="5" t="s">
        <v>1510</v>
      </c>
      <c r="AD262" s="5" t="s">
        <v>1558</v>
      </c>
      <c r="AE262" s="5">
        <v>2137.0</v>
      </c>
      <c r="AF262" s="36">
        <v>46108.63809246528</v>
      </c>
      <c r="AG262" s="5" t="s">
        <v>1549</v>
      </c>
    </row>
    <row r="263" ht="22.5" hidden="1" customHeight="1">
      <c r="A263" s="5" t="s">
        <v>1846</v>
      </c>
      <c r="B263" s="5" t="s">
        <v>1506</v>
      </c>
      <c r="C263" s="5" t="s">
        <v>673</v>
      </c>
      <c r="D263" s="5" t="s">
        <v>14</v>
      </c>
      <c r="E263" s="5">
        <v>9.702024342E9</v>
      </c>
      <c r="F263" s="5" t="s">
        <v>674</v>
      </c>
      <c r="H263" s="35">
        <v>40470.0</v>
      </c>
      <c r="I263" s="5" t="s">
        <v>156</v>
      </c>
      <c r="J263" s="5" t="s">
        <v>39</v>
      </c>
      <c r="K263" s="5" t="b">
        <v>0</v>
      </c>
      <c r="L263" s="5" t="b">
        <v>0</v>
      </c>
      <c r="N263" s="5">
        <v>3000.0</v>
      </c>
      <c r="O263" s="5">
        <v>0.0</v>
      </c>
      <c r="P263" s="5">
        <v>0.0</v>
      </c>
      <c r="R263" s="5" t="b">
        <v>0</v>
      </c>
      <c r="U263" s="5" t="s">
        <v>1517</v>
      </c>
      <c r="V263" s="5" t="s">
        <v>1508</v>
      </c>
      <c r="W263" s="5" t="s">
        <v>1508</v>
      </c>
      <c r="X263" s="5" t="s">
        <v>1509</v>
      </c>
      <c r="Z263" s="5">
        <v>3000.0</v>
      </c>
      <c r="AB263" s="5">
        <v>0.0</v>
      </c>
      <c r="AC263" s="5" t="s">
        <v>1510</v>
      </c>
      <c r="AD263" s="5" t="s">
        <v>1511</v>
      </c>
      <c r="AE263" s="5">
        <v>3239.0</v>
      </c>
      <c r="AF263" s="36">
        <v>46108.47040295139</v>
      </c>
    </row>
    <row r="264" ht="22.5" customHeight="1">
      <c r="A264" s="5" t="s">
        <v>1847</v>
      </c>
      <c r="B264" s="5" t="s">
        <v>1506</v>
      </c>
      <c r="C264" s="5" t="s">
        <v>1848</v>
      </c>
      <c r="D264" s="5" t="s">
        <v>380</v>
      </c>
      <c r="E264" s="25" t="s">
        <v>381</v>
      </c>
      <c r="F264" s="5" t="s">
        <v>382</v>
      </c>
      <c r="G264" s="5">
        <v>4780916.0</v>
      </c>
      <c r="H264" s="35">
        <v>29953.0</v>
      </c>
      <c r="I264" s="5" t="s">
        <v>156</v>
      </c>
      <c r="J264" s="5" t="s">
        <v>17</v>
      </c>
      <c r="K264" s="5" t="b">
        <v>0</v>
      </c>
      <c r="L264" s="5" t="b">
        <v>0</v>
      </c>
      <c r="N264" s="5">
        <v>10.0</v>
      </c>
      <c r="O264" s="5">
        <v>0.0</v>
      </c>
      <c r="P264" s="5">
        <v>0.0</v>
      </c>
      <c r="R264" s="5" t="b">
        <v>0</v>
      </c>
      <c r="U264" s="5" t="s">
        <v>1514</v>
      </c>
      <c r="V264" s="5" t="s">
        <v>1508</v>
      </c>
      <c r="W264" s="5" t="s">
        <v>1508</v>
      </c>
      <c r="X264" s="5" t="s">
        <v>1509</v>
      </c>
      <c r="Z264" s="5">
        <v>10.0</v>
      </c>
      <c r="AB264" s="5">
        <v>0.0</v>
      </c>
      <c r="AC264" s="5" t="s">
        <v>1546</v>
      </c>
      <c r="AD264" s="5" t="s">
        <v>1511</v>
      </c>
      <c r="AE264" s="5">
        <v>4082.0</v>
      </c>
      <c r="AF264" s="36">
        <v>46108.39018001157</v>
      </c>
    </row>
    <row r="265" ht="22.5" customHeight="1">
      <c r="A265" s="5" t="s">
        <v>1849</v>
      </c>
      <c r="B265" s="5" t="s">
        <v>1506</v>
      </c>
      <c r="C265" s="5" t="s">
        <v>1850</v>
      </c>
      <c r="D265" s="5" t="s">
        <v>14</v>
      </c>
      <c r="E265" s="5">
        <v>9.803497984E9</v>
      </c>
      <c r="F265" s="5" t="s">
        <v>82</v>
      </c>
      <c r="H265" s="35">
        <v>34365.0</v>
      </c>
      <c r="I265" s="5" t="s">
        <v>16</v>
      </c>
      <c r="J265" s="5" t="s">
        <v>17</v>
      </c>
      <c r="K265" s="5" t="b">
        <v>0</v>
      </c>
      <c r="L265" s="5" t="b">
        <v>0</v>
      </c>
      <c r="N265" s="5">
        <v>1500.0</v>
      </c>
      <c r="O265" s="5">
        <v>0.0</v>
      </c>
      <c r="P265" s="5">
        <v>0.0</v>
      </c>
      <c r="R265" s="5" t="b">
        <v>0</v>
      </c>
      <c r="U265" s="5" t="s">
        <v>1517</v>
      </c>
      <c r="V265" s="5" t="s">
        <v>1508</v>
      </c>
      <c r="W265" s="5" t="s">
        <v>1548</v>
      </c>
      <c r="X265" s="5" t="s">
        <v>1509</v>
      </c>
      <c r="Z265" s="5">
        <v>1500.0</v>
      </c>
      <c r="AB265" s="5">
        <v>0.0</v>
      </c>
      <c r="AC265" s="5" t="s">
        <v>1510</v>
      </c>
      <c r="AD265" s="5" t="s">
        <v>1558</v>
      </c>
      <c r="AE265" s="5">
        <v>4175.0</v>
      </c>
      <c r="AF265" s="36">
        <v>46108.34765024306</v>
      </c>
      <c r="AG265" s="5" t="s">
        <v>1549</v>
      </c>
    </row>
    <row r="266" ht="22.5" hidden="1" customHeight="1">
      <c r="A266" s="5" t="s">
        <v>1851</v>
      </c>
      <c r="B266" s="5" t="s">
        <v>1506</v>
      </c>
      <c r="C266" s="5" t="s">
        <v>1319</v>
      </c>
      <c r="D266" s="5" t="s">
        <v>137</v>
      </c>
      <c r="E266" s="25" t="s">
        <v>1320</v>
      </c>
      <c r="F266" s="5" t="s">
        <v>1321</v>
      </c>
      <c r="H266" s="35">
        <v>31703.0</v>
      </c>
      <c r="I266" s="5" t="s">
        <v>156</v>
      </c>
      <c r="J266" s="5" t="s">
        <v>36</v>
      </c>
      <c r="K266" s="5" t="b">
        <v>0</v>
      </c>
      <c r="L266" s="5" t="b">
        <v>0</v>
      </c>
      <c r="N266" s="5">
        <v>150.0</v>
      </c>
      <c r="O266" s="5">
        <v>0.0</v>
      </c>
      <c r="P266" s="5">
        <v>0.0</v>
      </c>
      <c r="R266" s="5" t="b">
        <v>0</v>
      </c>
      <c r="U266" s="5" t="s">
        <v>1507</v>
      </c>
      <c r="V266" s="5" t="s">
        <v>1508</v>
      </c>
      <c r="W266" s="5" t="s">
        <v>1508</v>
      </c>
      <c r="X266" s="5" t="s">
        <v>1509</v>
      </c>
      <c r="Z266" s="5">
        <v>150.0</v>
      </c>
      <c r="AB266" s="5">
        <v>0.0</v>
      </c>
      <c r="AC266" s="5" t="s">
        <v>1546</v>
      </c>
      <c r="AD266" s="5" t="s">
        <v>1511</v>
      </c>
      <c r="AE266" s="5">
        <v>1058.0</v>
      </c>
      <c r="AF266" s="36">
        <v>46107.61135020833</v>
      </c>
    </row>
    <row r="267" ht="22.5" hidden="1" customHeight="1">
      <c r="A267" s="5" t="s">
        <v>1852</v>
      </c>
      <c r="B267" s="5" t="s">
        <v>1506</v>
      </c>
      <c r="C267" s="5" t="s">
        <v>675</v>
      </c>
      <c r="D267" s="5" t="s">
        <v>14</v>
      </c>
      <c r="E267" s="5">
        <v>9.823824358E9</v>
      </c>
      <c r="F267" s="5" t="s">
        <v>676</v>
      </c>
      <c r="H267" s="35">
        <v>36706.0</v>
      </c>
      <c r="I267" s="5" t="s">
        <v>156</v>
      </c>
      <c r="J267" s="5" t="s">
        <v>39</v>
      </c>
      <c r="K267" s="5" t="b">
        <v>0</v>
      </c>
      <c r="L267" s="5" t="b">
        <v>0</v>
      </c>
      <c r="N267" s="5">
        <v>3000.0</v>
      </c>
      <c r="O267" s="5">
        <v>0.0</v>
      </c>
      <c r="P267" s="5">
        <v>0.0</v>
      </c>
      <c r="R267" s="5" t="b">
        <v>0</v>
      </c>
      <c r="U267" s="5" t="s">
        <v>1514</v>
      </c>
      <c r="V267" s="5" t="s">
        <v>1508</v>
      </c>
      <c r="W267" s="5" t="s">
        <v>1548</v>
      </c>
      <c r="X267" s="5" t="s">
        <v>1509</v>
      </c>
      <c r="Z267" s="5">
        <v>3000.0</v>
      </c>
      <c r="AB267" s="5">
        <v>0.0</v>
      </c>
      <c r="AC267" s="5" t="s">
        <v>1510</v>
      </c>
      <c r="AE267" s="5">
        <v>3101.0</v>
      </c>
      <c r="AF267" s="36">
        <v>46107.60836680556</v>
      </c>
      <c r="AG267" s="5" t="s">
        <v>1549</v>
      </c>
    </row>
    <row r="268" ht="22.5" customHeight="1">
      <c r="A268" s="5" t="s">
        <v>1853</v>
      </c>
      <c r="B268" s="5" t="s">
        <v>1506</v>
      </c>
      <c r="C268" s="5" t="s">
        <v>83</v>
      </c>
      <c r="D268" s="5" t="s">
        <v>14</v>
      </c>
      <c r="E268" s="5">
        <v>9.816084276E9</v>
      </c>
      <c r="F268" s="5" t="s">
        <v>84</v>
      </c>
      <c r="H268" s="35">
        <v>40012.0</v>
      </c>
      <c r="I268" s="5" t="s">
        <v>16</v>
      </c>
      <c r="J268" s="5" t="s">
        <v>17</v>
      </c>
      <c r="K268" s="5" t="b">
        <v>0</v>
      </c>
      <c r="L268" s="5" t="b">
        <v>0</v>
      </c>
      <c r="N268" s="5">
        <v>1500.0</v>
      </c>
      <c r="O268" s="5">
        <v>0.0</v>
      </c>
      <c r="P268" s="5">
        <v>0.0</v>
      </c>
      <c r="R268" s="5" t="b">
        <v>0</v>
      </c>
      <c r="U268" s="5" t="s">
        <v>1519</v>
      </c>
      <c r="V268" s="5" t="s">
        <v>1508</v>
      </c>
      <c r="W268" s="5" t="s">
        <v>1508</v>
      </c>
      <c r="X268" s="5" t="s">
        <v>1509</v>
      </c>
      <c r="Z268" s="5">
        <v>1500.0</v>
      </c>
      <c r="AB268" s="5">
        <v>0.0</v>
      </c>
      <c r="AC268" s="5" t="s">
        <v>1510</v>
      </c>
      <c r="AE268" s="5">
        <v>4081.0</v>
      </c>
      <c r="AF268" s="36">
        <v>46107.6009616088</v>
      </c>
    </row>
    <row r="269" ht="22.5" customHeight="1">
      <c r="A269" s="5" t="s">
        <v>1854</v>
      </c>
      <c r="B269" s="5" t="s">
        <v>1506</v>
      </c>
      <c r="C269" s="5" t="s">
        <v>257</v>
      </c>
      <c r="D269" s="5" t="s">
        <v>14</v>
      </c>
      <c r="E269" s="5">
        <v>9.744230183E9</v>
      </c>
      <c r="F269" s="5" t="s">
        <v>258</v>
      </c>
      <c r="H269" s="35">
        <v>37980.0</v>
      </c>
      <c r="I269" s="5" t="s">
        <v>156</v>
      </c>
      <c r="J269" s="5" t="s">
        <v>17</v>
      </c>
      <c r="K269" s="5" t="b">
        <v>0</v>
      </c>
      <c r="L269" s="5" t="b">
        <v>0</v>
      </c>
      <c r="N269" s="5">
        <v>1500.0</v>
      </c>
      <c r="O269" s="5">
        <v>0.0</v>
      </c>
      <c r="P269" s="5">
        <v>0.0</v>
      </c>
      <c r="R269" s="5" t="b">
        <v>0</v>
      </c>
      <c r="U269" s="5" t="s">
        <v>1519</v>
      </c>
      <c r="V269" s="5" t="s">
        <v>1508</v>
      </c>
      <c r="W269" s="5" t="s">
        <v>1548</v>
      </c>
      <c r="X269" s="5" t="s">
        <v>1509</v>
      </c>
      <c r="Z269" s="5">
        <v>1200.0</v>
      </c>
      <c r="AA269" s="5" t="s">
        <v>1591</v>
      </c>
      <c r="AB269" s="5">
        <v>300.0</v>
      </c>
      <c r="AC269" s="5" t="s">
        <v>1510</v>
      </c>
      <c r="AE269" s="5">
        <v>4080.0</v>
      </c>
      <c r="AF269" s="36">
        <v>46106.65042342593</v>
      </c>
      <c r="AG269" s="5" t="s">
        <v>1549</v>
      </c>
    </row>
    <row r="270" ht="22.5" customHeight="1">
      <c r="A270" s="5" t="s">
        <v>1855</v>
      </c>
      <c r="B270" s="5" t="s">
        <v>1506</v>
      </c>
      <c r="C270" s="5" t="s">
        <v>259</v>
      </c>
      <c r="D270" s="5" t="s">
        <v>14</v>
      </c>
      <c r="E270" s="5">
        <v>9.865191278E9</v>
      </c>
      <c r="F270" s="5" t="s">
        <v>260</v>
      </c>
      <c r="H270" s="35">
        <v>38160.0</v>
      </c>
      <c r="I270" s="5" t="s">
        <v>156</v>
      </c>
      <c r="J270" s="5" t="s">
        <v>17</v>
      </c>
      <c r="K270" s="5" t="b">
        <v>0</v>
      </c>
      <c r="L270" s="5" t="b">
        <v>0</v>
      </c>
      <c r="N270" s="5">
        <v>1500.0</v>
      </c>
      <c r="O270" s="5">
        <v>0.0</v>
      </c>
      <c r="P270" s="5">
        <v>0.0</v>
      </c>
      <c r="R270" s="5" t="b">
        <v>0</v>
      </c>
      <c r="U270" s="5" t="s">
        <v>1578</v>
      </c>
      <c r="V270" s="5" t="s">
        <v>1508</v>
      </c>
      <c r="W270" s="5" t="s">
        <v>1508</v>
      </c>
      <c r="X270" s="5" t="s">
        <v>1509</v>
      </c>
      <c r="Z270" s="5">
        <v>1200.0</v>
      </c>
      <c r="AA270" s="5" t="s">
        <v>1591</v>
      </c>
      <c r="AB270" s="5">
        <v>300.0</v>
      </c>
      <c r="AC270" s="5" t="s">
        <v>1510</v>
      </c>
      <c r="AE270" s="5">
        <v>4079.0</v>
      </c>
      <c r="AF270" s="36">
        <v>46106.64576342593</v>
      </c>
    </row>
    <row r="271" ht="22.5" customHeight="1">
      <c r="A271" s="5" t="s">
        <v>1856</v>
      </c>
      <c r="B271" s="5" t="s">
        <v>1506</v>
      </c>
      <c r="C271" s="5" t="s">
        <v>261</v>
      </c>
      <c r="D271" s="5" t="s">
        <v>14</v>
      </c>
      <c r="E271" s="5">
        <v>9.861797915E9</v>
      </c>
      <c r="F271" s="5" t="s">
        <v>262</v>
      </c>
      <c r="H271" s="35">
        <v>37840.0</v>
      </c>
      <c r="I271" s="5" t="s">
        <v>156</v>
      </c>
      <c r="J271" s="5" t="s">
        <v>17</v>
      </c>
      <c r="K271" s="5" t="b">
        <v>0</v>
      </c>
      <c r="L271" s="5" t="b">
        <v>0</v>
      </c>
      <c r="N271" s="5">
        <v>1500.0</v>
      </c>
      <c r="O271" s="5">
        <v>0.0</v>
      </c>
      <c r="P271" s="5">
        <v>0.0</v>
      </c>
      <c r="R271" s="5" t="b">
        <v>0</v>
      </c>
      <c r="U271" s="5" t="s">
        <v>1517</v>
      </c>
      <c r="V271" s="5" t="s">
        <v>1508</v>
      </c>
      <c r="W271" s="5" t="s">
        <v>1508</v>
      </c>
      <c r="X271" s="5" t="s">
        <v>1509</v>
      </c>
      <c r="Z271" s="5">
        <v>1500.0</v>
      </c>
      <c r="AB271" s="5">
        <v>0.0</v>
      </c>
      <c r="AC271" s="5" t="s">
        <v>1510</v>
      </c>
      <c r="AE271" s="5">
        <v>4078.0</v>
      </c>
      <c r="AF271" s="36">
        <v>46106.64234363426</v>
      </c>
    </row>
    <row r="272" ht="22.5" customHeight="1">
      <c r="A272" s="5" t="s">
        <v>1857</v>
      </c>
      <c r="B272" s="5" t="s">
        <v>1506</v>
      </c>
      <c r="C272" s="5" t="s">
        <v>263</v>
      </c>
      <c r="D272" s="5" t="s">
        <v>14</v>
      </c>
      <c r="E272" s="5">
        <v>9.84669111E9</v>
      </c>
      <c r="F272" s="5" t="s">
        <v>264</v>
      </c>
      <c r="H272" s="35">
        <v>40161.0</v>
      </c>
      <c r="I272" s="5" t="s">
        <v>156</v>
      </c>
      <c r="J272" s="5" t="s">
        <v>17</v>
      </c>
      <c r="K272" s="5" t="b">
        <v>0</v>
      </c>
      <c r="L272" s="5" t="b">
        <v>0</v>
      </c>
      <c r="N272" s="5">
        <v>1500.0</v>
      </c>
      <c r="O272" s="5">
        <v>0.0</v>
      </c>
      <c r="P272" s="5">
        <v>0.0</v>
      </c>
      <c r="R272" s="5" t="b">
        <v>0</v>
      </c>
      <c r="U272" s="5" t="s">
        <v>1517</v>
      </c>
      <c r="V272" s="5" t="s">
        <v>1508</v>
      </c>
      <c r="W272" s="5" t="s">
        <v>1508</v>
      </c>
      <c r="X272" s="5" t="s">
        <v>1509</v>
      </c>
      <c r="Z272" s="5">
        <v>1500.0</v>
      </c>
      <c r="AB272" s="5">
        <v>0.0</v>
      </c>
      <c r="AC272" s="5" t="s">
        <v>1510</v>
      </c>
      <c r="AE272" s="5">
        <v>4077.0</v>
      </c>
      <c r="AF272" s="36">
        <v>46106.597429629626</v>
      </c>
    </row>
    <row r="273" ht="22.5" hidden="1" customHeight="1">
      <c r="A273" s="5" t="s">
        <v>1858</v>
      </c>
      <c r="B273" s="5" t="s">
        <v>1506</v>
      </c>
      <c r="C273" s="5" t="s">
        <v>1859</v>
      </c>
      <c r="D273" s="5" t="s">
        <v>938</v>
      </c>
      <c r="E273" s="25" t="s">
        <v>939</v>
      </c>
      <c r="F273" s="5" t="s">
        <v>940</v>
      </c>
      <c r="G273" s="5">
        <v>6999668.0</v>
      </c>
      <c r="H273" s="35">
        <v>34416.0</v>
      </c>
      <c r="I273" s="5" t="s">
        <v>16</v>
      </c>
      <c r="J273" s="5" t="s">
        <v>42</v>
      </c>
      <c r="K273" s="5" t="b">
        <v>0</v>
      </c>
      <c r="L273" s="5" t="b">
        <v>0</v>
      </c>
      <c r="N273" s="5">
        <v>80.0</v>
      </c>
      <c r="O273" s="5">
        <v>0.0</v>
      </c>
      <c r="P273" s="5">
        <v>0.0</v>
      </c>
      <c r="R273" s="5" t="b">
        <v>0</v>
      </c>
      <c r="U273" s="5" t="s">
        <v>1519</v>
      </c>
      <c r="V273" s="5" t="s">
        <v>1508</v>
      </c>
      <c r="W273" s="5" t="s">
        <v>1508</v>
      </c>
      <c r="X273" s="5" t="s">
        <v>1509</v>
      </c>
      <c r="Z273" s="5">
        <v>80.0</v>
      </c>
      <c r="AB273" s="5">
        <v>0.0</v>
      </c>
      <c r="AC273" s="5" t="s">
        <v>1546</v>
      </c>
      <c r="AD273" s="5" t="s">
        <v>1511</v>
      </c>
      <c r="AE273" s="5">
        <v>2084.0</v>
      </c>
      <c r="AF273" s="36">
        <v>46106.498546875</v>
      </c>
    </row>
    <row r="274" ht="22.5" hidden="1" customHeight="1">
      <c r="A274" s="5" t="s">
        <v>1860</v>
      </c>
      <c r="B274" s="5" t="s">
        <v>1506</v>
      </c>
      <c r="C274" s="5" t="s">
        <v>1174</v>
      </c>
      <c r="D274" s="5" t="s">
        <v>14</v>
      </c>
      <c r="E274" s="5">
        <v>9.76234424E9</v>
      </c>
      <c r="F274" s="5" t="s">
        <v>1175</v>
      </c>
      <c r="G274" s="5">
        <v>4792544.0</v>
      </c>
      <c r="H274" s="35">
        <v>31658.0</v>
      </c>
      <c r="I274" s="5" t="s">
        <v>156</v>
      </c>
      <c r="J274" s="5" t="s">
        <v>42</v>
      </c>
      <c r="K274" s="5" t="b">
        <v>0</v>
      </c>
      <c r="L274" s="5" t="b">
        <v>0</v>
      </c>
      <c r="N274" s="5">
        <v>7500.0</v>
      </c>
      <c r="O274" s="5">
        <v>0.0</v>
      </c>
      <c r="P274" s="5">
        <v>0.0</v>
      </c>
      <c r="R274" s="5" t="b">
        <v>0</v>
      </c>
      <c r="U274" s="5" t="s">
        <v>1517</v>
      </c>
      <c r="V274" s="5" t="s">
        <v>1508</v>
      </c>
      <c r="W274" s="5" t="s">
        <v>1508</v>
      </c>
      <c r="X274" s="5" t="s">
        <v>1509</v>
      </c>
      <c r="Z274" s="5">
        <v>6000.0</v>
      </c>
      <c r="AA274" s="5" t="s">
        <v>1591</v>
      </c>
      <c r="AB274" s="5">
        <v>1500.0</v>
      </c>
      <c r="AC274" s="5" t="s">
        <v>1510</v>
      </c>
      <c r="AE274" s="5">
        <v>2083.0</v>
      </c>
      <c r="AF274" s="36">
        <v>46106.35687175926</v>
      </c>
    </row>
    <row r="275" ht="22.5" hidden="1" customHeight="1">
      <c r="A275" s="5" t="s">
        <v>1861</v>
      </c>
      <c r="B275" s="5" t="s">
        <v>1506</v>
      </c>
      <c r="C275" s="5" t="s">
        <v>491</v>
      </c>
      <c r="D275" s="5" t="s">
        <v>372</v>
      </c>
      <c r="E275" s="25" t="s">
        <v>492</v>
      </c>
      <c r="F275" s="5" t="s">
        <v>493</v>
      </c>
      <c r="H275" s="35">
        <v>35906.0</v>
      </c>
      <c r="I275" s="5" t="s">
        <v>16</v>
      </c>
      <c r="J275" s="5" t="s">
        <v>39</v>
      </c>
      <c r="K275" s="5" t="b">
        <v>0</v>
      </c>
      <c r="L275" s="5" t="b">
        <v>0</v>
      </c>
      <c r="N275" s="5">
        <v>25.0</v>
      </c>
      <c r="O275" s="5">
        <v>0.0</v>
      </c>
      <c r="P275" s="5">
        <v>0.0</v>
      </c>
      <c r="R275" s="5" t="b">
        <v>0</v>
      </c>
      <c r="U275" s="5" t="s">
        <v>1580</v>
      </c>
      <c r="V275" s="5" t="s">
        <v>1508</v>
      </c>
      <c r="W275" s="5" t="s">
        <v>1508</v>
      </c>
      <c r="X275" s="5" t="s">
        <v>1509</v>
      </c>
      <c r="Z275" s="5">
        <v>25.0</v>
      </c>
      <c r="AB275" s="5">
        <v>0.0</v>
      </c>
      <c r="AC275" s="5" t="s">
        <v>1546</v>
      </c>
      <c r="AD275" s="5" t="s">
        <v>1511</v>
      </c>
      <c r="AE275" s="5">
        <v>3099.0</v>
      </c>
      <c r="AF275" s="36">
        <v>46106.32516615741</v>
      </c>
    </row>
    <row r="276" ht="22.5" hidden="1" customHeight="1">
      <c r="A276" s="5" t="s">
        <v>1862</v>
      </c>
      <c r="B276" s="5" t="s">
        <v>1506</v>
      </c>
      <c r="C276" s="5" t="s">
        <v>850</v>
      </c>
      <c r="D276" s="5" t="s">
        <v>372</v>
      </c>
      <c r="E276" s="25" t="s">
        <v>851</v>
      </c>
      <c r="F276" s="5" t="s">
        <v>852</v>
      </c>
      <c r="H276" s="35">
        <v>35076.0</v>
      </c>
      <c r="I276" s="5" t="s">
        <v>156</v>
      </c>
      <c r="J276" s="5" t="s">
        <v>39</v>
      </c>
      <c r="K276" s="5" t="b">
        <v>0</v>
      </c>
      <c r="L276" s="5" t="b">
        <v>0</v>
      </c>
      <c r="N276" s="5">
        <v>25.0</v>
      </c>
      <c r="O276" s="5">
        <v>0.0</v>
      </c>
      <c r="P276" s="5">
        <v>0.0</v>
      </c>
      <c r="R276" s="5" t="b">
        <v>0</v>
      </c>
      <c r="U276" s="5" t="s">
        <v>1517</v>
      </c>
      <c r="V276" s="5" t="s">
        <v>1508</v>
      </c>
      <c r="W276" s="5" t="s">
        <v>1508</v>
      </c>
      <c r="X276" s="5" t="s">
        <v>1509</v>
      </c>
      <c r="Z276" s="5">
        <v>25.0</v>
      </c>
      <c r="AB276" s="5">
        <v>0.0</v>
      </c>
      <c r="AC276" s="5" t="s">
        <v>1546</v>
      </c>
      <c r="AD276" s="5" t="s">
        <v>1511</v>
      </c>
      <c r="AE276" s="5">
        <v>3097.0</v>
      </c>
      <c r="AF276" s="36">
        <v>46106.30336928241</v>
      </c>
    </row>
    <row r="277" ht="22.5" hidden="1" customHeight="1">
      <c r="A277" s="5" t="s">
        <v>1863</v>
      </c>
      <c r="B277" s="5" t="s">
        <v>1506</v>
      </c>
      <c r="C277" s="5" t="s">
        <v>442</v>
      </c>
      <c r="D277" s="5" t="s">
        <v>14</v>
      </c>
      <c r="E277" s="5">
        <v>9.923440299E9</v>
      </c>
      <c r="F277" s="5" t="s">
        <v>443</v>
      </c>
      <c r="H277" s="35">
        <v>31580.0</v>
      </c>
      <c r="I277" s="5" t="s">
        <v>16</v>
      </c>
      <c r="J277" s="5" t="s">
        <v>39</v>
      </c>
      <c r="K277" s="5" t="b">
        <v>0</v>
      </c>
      <c r="L277" s="5" t="b">
        <v>0</v>
      </c>
      <c r="N277" s="5">
        <v>3000.0</v>
      </c>
      <c r="O277" s="5">
        <v>0.0</v>
      </c>
      <c r="P277" s="5">
        <v>0.0</v>
      </c>
      <c r="R277" s="5" t="b">
        <v>0</v>
      </c>
      <c r="U277" s="5" t="s">
        <v>1517</v>
      </c>
      <c r="V277" s="5" t="s">
        <v>1508</v>
      </c>
      <c r="W277" s="5" t="s">
        <v>1508</v>
      </c>
      <c r="X277" s="5" t="s">
        <v>1509</v>
      </c>
      <c r="Z277" s="5">
        <v>2250.0</v>
      </c>
      <c r="AA277" s="5" t="s">
        <v>699</v>
      </c>
      <c r="AB277" s="5">
        <v>750.0</v>
      </c>
      <c r="AC277" s="5" t="s">
        <v>1510</v>
      </c>
      <c r="AE277" s="5">
        <v>3093.0</v>
      </c>
      <c r="AF277" s="36">
        <v>46106.290044340276</v>
      </c>
    </row>
    <row r="278" ht="22.5" hidden="1" customHeight="1">
      <c r="A278" s="5" t="s">
        <v>1864</v>
      </c>
      <c r="B278" s="5" t="s">
        <v>1506</v>
      </c>
      <c r="C278" s="5" t="s">
        <v>677</v>
      </c>
      <c r="D278" s="5" t="s">
        <v>14</v>
      </c>
      <c r="E278" s="5">
        <v>9.803136548E9</v>
      </c>
      <c r="F278" s="5" t="s">
        <v>678</v>
      </c>
      <c r="G278" s="5">
        <v>6079149.0</v>
      </c>
      <c r="H278" s="35">
        <v>35277.0</v>
      </c>
      <c r="I278" s="5" t="s">
        <v>156</v>
      </c>
      <c r="J278" s="5" t="s">
        <v>39</v>
      </c>
      <c r="K278" s="5" t="b">
        <v>0</v>
      </c>
      <c r="L278" s="5" t="b">
        <v>0</v>
      </c>
      <c r="N278" s="5">
        <v>3000.0</v>
      </c>
      <c r="O278" s="5">
        <v>0.0</v>
      </c>
      <c r="P278" s="5">
        <v>0.0</v>
      </c>
      <c r="R278" s="5" t="b">
        <v>0</v>
      </c>
      <c r="U278" s="5" t="s">
        <v>1517</v>
      </c>
      <c r="V278" s="5" t="s">
        <v>1508</v>
      </c>
      <c r="W278" s="5" t="s">
        <v>1508</v>
      </c>
      <c r="X278" s="5" t="s">
        <v>1509</v>
      </c>
      <c r="Z278" s="5">
        <v>2250.0</v>
      </c>
      <c r="AA278" s="5" t="s">
        <v>1556</v>
      </c>
      <c r="AB278" s="5">
        <v>750.0</v>
      </c>
      <c r="AC278" s="5" t="s">
        <v>1510</v>
      </c>
      <c r="AE278" s="5">
        <v>3092.0</v>
      </c>
      <c r="AF278" s="36">
        <v>46106.28789905093</v>
      </c>
    </row>
    <row r="279" ht="22.5" hidden="1" customHeight="1">
      <c r="A279" s="5" t="s">
        <v>1865</v>
      </c>
      <c r="B279" s="5" t="s">
        <v>1506</v>
      </c>
      <c r="C279" s="5" t="s">
        <v>1010</v>
      </c>
      <c r="D279" s="5" t="s">
        <v>14</v>
      </c>
      <c r="E279" s="5">
        <v>9.841413179E9</v>
      </c>
      <c r="F279" s="5" t="s">
        <v>1011</v>
      </c>
      <c r="G279" s="5">
        <v>5091902.0</v>
      </c>
      <c r="H279" s="35">
        <v>36131.0</v>
      </c>
      <c r="I279" s="5" t="s">
        <v>156</v>
      </c>
      <c r="J279" s="5" t="s">
        <v>42</v>
      </c>
      <c r="K279" s="5" t="b">
        <v>0</v>
      </c>
      <c r="L279" s="5" t="b">
        <v>0</v>
      </c>
      <c r="N279" s="5">
        <v>7500.0</v>
      </c>
      <c r="O279" s="5">
        <v>0.0</v>
      </c>
      <c r="P279" s="5">
        <v>0.0</v>
      </c>
      <c r="R279" s="5" t="b">
        <v>0</v>
      </c>
      <c r="U279" s="5" t="s">
        <v>1514</v>
      </c>
      <c r="V279" s="5" t="s">
        <v>1508</v>
      </c>
      <c r="W279" s="5" t="s">
        <v>1508</v>
      </c>
      <c r="X279" s="5" t="s">
        <v>1509</v>
      </c>
      <c r="Z279" s="5">
        <v>7500.0</v>
      </c>
      <c r="AB279" s="5">
        <v>0.0</v>
      </c>
      <c r="AC279" s="5" t="s">
        <v>1510</v>
      </c>
      <c r="AE279" s="5">
        <v>2082.0</v>
      </c>
      <c r="AF279" s="36">
        <v>46106.246437037036</v>
      </c>
    </row>
    <row r="280" ht="22.5" customHeight="1">
      <c r="A280" s="5" t="s">
        <v>1866</v>
      </c>
      <c r="B280" s="5" t="s">
        <v>1506</v>
      </c>
      <c r="C280" s="5" t="s">
        <v>265</v>
      </c>
      <c r="D280" s="5" t="s">
        <v>14</v>
      </c>
      <c r="E280" s="5">
        <v>9.86081027E9</v>
      </c>
      <c r="F280" s="5" t="s">
        <v>266</v>
      </c>
      <c r="H280" s="35">
        <v>36364.0</v>
      </c>
      <c r="I280" s="5" t="s">
        <v>156</v>
      </c>
      <c r="J280" s="5" t="s">
        <v>17</v>
      </c>
      <c r="K280" s="5" t="b">
        <v>0</v>
      </c>
      <c r="L280" s="5" t="b">
        <v>0</v>
      </c>
      <c r="N280" s="5">
        <v>1500.0</v>
      </c>
      <c r="O280" s="5">
        <v>0.0</v>
      </c>
      <c r="P280" s="5">
        <v>0.0</v>
      </c>
      <c r="R280" s="5" t="b">
        <v>0</v>
      </c>
      <c r="U280" s="5" t="s">
        <v>1514</v>
      </c>
      <c r="V280" s="5" t="s">
        <v>1508</v>
      </c>
      <c r="W280" s="5" t="s">
        <v>1508</v>
      </c>
      <c r="X280" s="5" t="s">
        <v>1509</v>
      </c>
      <c r="Z280" s="5">
        <v>1125.0</v>
      </c>
      <c r="AA280" s="5" t="s">
        <v>1556</v>
      </c>
      <c r="AB280" s="5">
        <v>375.0</v>
      </c>
      <c r="AC280" s="5" t="s">
        <v>1510</v>
      </c>
      <c r="AE280" s="5">
        <v>4076.0</v>
      </c>
      <c r="AF280" s="36">
        <v>46106.24299039352</v>
      </c>
    </row>
    <row r="281" ht="22.5" customHeight="1">
      <c r="A281" s="5" t="s">
        <v>1867</v>
      </c>
      <c r="B281" s="5" t="s">
        <v>1506</v>
      </c>
      <c r="C281" s="5" t="s">
        <v>267</v>
      </c>
      <c r="D281" s="5" t="s">
        <v>14</v>
      </c>
      <c r="E281" s="25" t="s">
        <v>268</v>
      </c>
      <c r="F281" s="5" t="s">
        <v>269</v>
      </c>
      <c r="H281" s="35">
        <v>26985.0</v>
      </c>
      <c r="I281" s="5" t="s">
        <v>156</v>
      </c>
      <c r="J281" s="5" t="s">
        <v>17</v>
      </c>
      <c r="K281" s="5" t="b">
        <v>0</v>
      </c>
      <c r="L281" s="5" t="b">
        <v>0</v>
      </c>
      <c r="N281" s="5">
        <v>1500.0</v>
      </c>
      <c r="O281" s="5">
        <v>0.0</v>
      </c>
      <c r="P281" s="5">
        <v>0.0</v>
      </c>
      <c r="R281" s="5" t="b">
        <v>0</v>
      </c>
      <c r="U281" s="5" t="s">
        <v>1519</v>
      </c>
      <c r="V281" s="5" t="s">
        <v>1508</v>
      </c>
      <c r="W281" s="5" t="s">
        <v>1508</v>
      </c>
      <c r="X281" s="5" t="s">
        <v>1509</v>
      </c>
      <c r="Z281" s="5">
        <v>1500.0</v>
      </c>
      <c r="AB281" s="5">
        <v>0.0</v>
      </c>
      <c r="AC281" s="5" t="s">
        <v>1510</v>
      </c>
      <c r="AD281" s="5" t="s">
        <v>1558</v>
      </c>
      <c r="AE281" s="5">
        <v>4130.0</v>
      </c>
      <c r="AF281" s="36">
        <v>46106.24263523148</v>
      </c>
    </row>
    <row r="282" ht="22.5" customHeight="1">
      <c r="A282" s="5" t="s">
        <v>1868</v>
      </c>
      <c r="B282" s="5" t="s">
        <v>1506</v>
      </c>
      <c r="C282" s="5" t="s">
        <v>85</v>
      </c>
      <c r="D282" s="5" t="s">
        <v>14</v>
      </c>
      <c r="E282" s="5">
        <v>9.86347926E9</v>
      </c>
      <c r="F282" s="5" t="s">
        <v>86</v>
      </c>
      <c r="H282" s="35">
        <v>38910.0</v>
      </c>
      <c r="I282" s="5" t="s">
        <v>16</v>
      </c>
      <c r="J282" s="5" t="s">
        <v>17</v>
      </c>
      <c r="K282" s="5" t="b">
        <v>0</v>
      </c>
      <c r="L282" s="5" t="b">
        <v>0</v>
      </c>
      <c r="N282" s="5">
        <v>1500.0</v>
      </c>
      <c r="O282" s="5">
        <v>0.0</v>
      </c>
      <c r="P282" s="5">
        <v>0.0</v>
      </c>
      <c r="R282" s="5" t="b">
        <v>0</v>
      </c>
      <c r="U282" s="5" t="s">
        <v>1519</v>
      </c>
      <c r="V282" s="5" t="s">
        <v>1508</v>
      </c>
      <c r="W282" s="5" t="s">
        <v>1508</v>
      </c>
      <c r="X282" s="5" t="s">
        <v>1509</v>
      </c>
      <c r="Z282" s="5">
        <v>1125.0</v>
      </c>
      <c r="AA282" s="5" t="s">
        <v>699</v>
      </c>
      <c r="AB282" s="5">
        <v>375.0</v>
      </c>
      <c r="AC282" s="5" t="s">
        <v>1510</v>
      </c>
      <c r="AE282" s="5">
        <v>4075.0</v>
      </c>
      <c r="AF282" s="36">
        <v>46106.238798425926</v>
      </c>
    </row>
    <row r="283" ht="22.5" customHeight="1">
      <c r="A283" s="5" t="s">
        <v>1869</v>
      </c>
      <c r="B283" s="5" t="s">
        <v>1506</v>
      </c>
      <c r="C283" s="5" t="s">
        <v>87</v>
      </c>
      <c r="D283" s="5" t="s">
        <v>14</v>
      </c>
      <c r="E283" s="5">
        <v>9.843200086E9</v>
      </c>
      <c r="F283" s="5" t="s">
        <v>88</v>
      </c>
      <c r="G283" s="5">
        <v>7199400.0</v>
      </c>
      <c r="H283" s="35">
        <v>35312.0</v>
      </c>
      <c r="I283" s="5" t="s">
        <v>16</v>
      </c>
      <c r="J283" s="5" t="s">
        <v>17</v>
      </c>
      <c r="K283" s="5" t="b">
        <v>0</v>
      </c>
      <c r="L283" s="5" t="b">
        <v>0</v>
      </c>
      <c r="N283" s="5">
        <v>1500.0</v>
      </c>
      <c r="O283" s="5">
        <v>0.0</v>
      </c>
      <c r="P283" s="5">
        <v>0.0</v>
      </c>
      <c r="R283" s="5" t="b">
        <v>0</v>
      </c>
      <c r="U283" s="5" t="s">
        <v>1514</v>
      </c>
      <c r="V283" s="5" t="s">
        <v>1508</v>
      </c>
      <c r="W283" s="5" t="s">
        <v>1508</v>
      </c>
      <c r="X283" s="5" t="s">
        <v>1509</v>
      </c>
      <c r="Z283" s="5">
        <v>1125.0</v>
      </c>
      <c r="AA283" s="5" t="s">
        <v>1556</v>
      </c>
      <c r="AB283" s="5">
        <v>375.0</v>
      </c>
      <c r="AC283" s="5" t="s">
        <v>1510</v>
      </c>
      <c r="AE283" s="5">
        <v>4074.0</v>
      </c>
      <c r="AF283" s="36">
        <v>46106.2280953588</v>
      </c>
    </row>
    <row r="284" ht="22.5" hidden="1" customHeight="1">
      <c r="A284" s="5" t="s">
        <v>1870</v>
      </c>
      <c r="B284" s="5" t="s">
        <v>1506</v>
      </c>
      <c r="C284" s="5" t="s">
        <v>679</v>
      </c>
      <c r="D284" s="5" t="s">
        <v>14</v>
      </c>
      <c r="E284" s="5">
        <v>9.861900586E9</v>
      </c>
      <c r="F284" s="5" t="s">
        <v>445</v>
      </c>
      <c r="H284" s="35">
        <v>38783.0</v>
      </c>
      <c r="I284" s="5" t="s">
        <v>156</v>
      </c>
      <c r="J284" s="5" t="s">
        <v>39</v>
      </c>
      <c r="K284" s="5" t="b">
        <v>0</v>
      </c>
      <c r="L284" s="5" t="b">
        <v>0</v>
      </c>
      <c r="N284" s="5">
        <v>3000.0</v>
      </c>
      <c r="O284" s="5">
        <v>0.0</v>
      </c>
      <c r="P284" s="5">
        <v>0.0</v>
      </c>
      <c r="R284" s="5" t="b">
        <v>0</v>
      </c>
      <c r="U284" s="5" t="s">
        <v>1517</v>
      </c>
      <c r="V284" s="5" t="s">
        <v>1508</v>
      </c>
      <c r="W284" s="5" t="s">
        <v>1548</v>
      </c>
      <c r="X284" s="5" t="s">
        <v>1509</v>
      </c>
      <c r="Z284" s="5">
        <v>3000.0</v>
      </c>
      <c r="AB284" s="5">
        <v>0.0</v>
      </c>
      <c r="AC284" s="5" t="s">
        <v>1510</v>
      </c>
      <c r="AE284" s="5">
        <v>3095.0</v>
      </c>
      <c r="AF284" s="36">
        <v>46106.225588263886</v>
      </c>
      <c r="AG284" s="5" t="s">
        <v>1871</v>
      </c>
    </row>
    <row r="285" ht="22.5" hidden="1" customHeight="1">
      <c r="A285" s="5" t="s">
        <v>1872</v>
      </c>
      <c r="B285" s="5" t="s">
        <v>1506</v>
      </c>
      <c r="C285" s="5" t="s">
        <v>680</v>
      </c>
      <c r="D285" s="5" t="s">
        <v>14</v>
      </c>
      <c r="E285" s="5">
        <v>9.861900586E9</v>
      </c>
      <c r="F285" s="5" t="s">
        <v>445</v>
      </c>
      <c r="H285" s="35">
        <v>39851.0</v>
      </c>
      <c r="I285" s="5" t="s">
        <v>156</v>
      </c>
      <c r="J285" s="5" t="s">
        <v>39</v>
      </c>
      <c r="K285" s="5" t="b">
        <v>0</v>
      </c>
      <c r="L285" s="5" t="b">
        <v>0</v>
      </c>
      <c r="N285" s="5">
        <v>3000.0</v>
      </c>
      <c r="O285" s="5">
        <v>0.0</v>
      </c>
      <c r="P285" s="5">
        <v>0.0</v>
      </c>
      <c r="R285" s="5" t="b">
        <v>0</v>
      </c>
      <c r="U285" s="5" t="s">
        <v>1519</v>
      </c>
      <c r="V285" s="5" t="s">
        <v>1508</v>
      </c>
      <c r="W285" s="5" t="s">
        <v>1508</v>
      </c>
      <c r="X285" s="5" t="s">
        <v>1509</v>
      </c>
      <c r="Z285" s="5">
        <v>3000.0</v>
      </c>
      <c r="AB285" s="5">
        <v>0.0</v>
      </c>
      <c r="AC285" s="5" t="s">
        <v>1510</v>
      </c>
      <c r="AE285" s="5">
        <v>3096.0</v>
      </c>
      <c r="AF285" s="36">
        <v>46106.221273310184</v>
      </c>
      <c r="AG285" s="5" t="s">
        <v>1873</v>
      </c>
    </row>
    <row r="286" ht="22.5" hidden="1" customHeight="1">
      <c r="A286" s="5" t="s">
        <v>1874</v>
      </c>
      <c r="B286" s="5" t="s">
        <v>1506</v>
      </c>
      <c r="C286" s="5" t="s">
        <v>444</v>
      </c>
      <c r="D286" s="5" t="s">
        <v>14</v>
      </c>
      <c r="E286" s="5">
        <v>9.861900586E9</v>
      </c>
      <c r="F286" s="5" t="s">
        <v>445</v>
      </c>
      <c r="H286" s="35">
        <v>39919.0</v>
      </c>
      <c r="I286" s="5" t="s">
        <v>16</v>
      </c>
      <c r="J286" s="5" t="s">
        <v>39</v>
      </c>
      <c r="K286" s="5" t="b">
        <v>0</v>
      </c>
      <c r="L286" s="5" t="b">
        <v>0</v>
      </c>
      <c r="N286" s="5">
        <v>3000.0</v>
      </c>
      <c r="O286" s="5">
        <v>0.0</v>
      </c>
      <c r="P286" s="5">
        <v>0.0</v>
      </c>
      <c r="R286" s="5" t="b">
        <v>0</v>
      </c>
      <c r="U286" s="5" t="s">
        <v>1507</v>
      </c>
      <c r="V286" s="5" t="s">
        <v>1508</v>
      </c>
      <c r="W286" s="5" t="s">
        <v>1548</v>
      </c>
      <c r="X286" s="5" t="s">
        <v>1509</v>
      </c>
      <c r="Z286" s="5">
        <v>3000.0</v>
      </c>
      <c r="AB286" s="5">
        <v>0.0</v>
      </c>
      <c r="AC286" s="5" t="s">
        <v>1510</v>
      </c>
      <c r="AE286" s="5">
        <v>3091.0</v>
      </c>
      <c r="AF286" s="36">
        <v>46106.21954194445</v>
      </c>
      <c r="AG286" s="5" t="s">
        <v>1549</v>
      </c>
    </row>
    <row r="287" ht="22.5" hidden="1" customHeight="1">
      <c r="A287" s="5" t="s">
        <v>1875</v>
      </c>
      <c r="B287" s="5" t="s">
        <v>1506</v>
      </c>
      <c r="C287" s="5" t="s">
        <v>446</v>
      </c>
      <c r="D287" s="5" t="s">
        <v>14</v>
      </c>
      <c r="E287" s="5">
        <v>9.861900586E9</v>
      </c>
      <c r="F287" s="5" t="s">
        <v>445</v>
      </c>
      <c r="H287" s="35">
        <v>39563.0</v>
      </c>
      <c r="I287" s="5" t="s">
        <v>16</v>
      </c>
      <c r="J287" s="5" t="s">
        <v>39</v>
      </c>
      <c r="K287" s="5" t="b">
        <v>0</v>
      </c>
      <c r="L287" s="5" t="b">
        <v>0</v>
      </c>
      <c r="N287" s="5">
        <v>3000.0</v>
      </c>
      <c r="O287" s="5">
        <v>0.0</v>
      </c>
      <c r="P287" s="5">
        <v>0.0</v>
      </c>
      <c r="R287" s="5" t="b">
        <v>0</v>
      </c>
      <c r="U287" s="5" t="s">
        <v>1507</v>
      </c>
      <c r="V287" s="5" t="s">
        <v>1508</v>
      </c>
      <c r="W287" s="5" t="s">
        <v>1548</v>
      </c>
      <c r="X287" s="5" t="s">
        <v>1509</v>
      </c>
      <c r="Z287" s="5">
        <v>3000.0</v>
      </c>
      <c r="AB287" s="5">
        <v>0.0</v>
      </c>
      <c r="AC287" s="5" t="s">
        <v>1510</v>
      </c>
      <c r="AE287" s="5">
        <v>3089.0</v>
      </c>
      <c r="AF287" s="36">
        <v>46106.21755829861</v>
      </c>
      <c r="AG287" s="5" t="s">
        <v>1549</v>
      </c>
    </row>
    <row r="288" ht="22.5" hidden="1" customHeight="1">
      <c r="A288" s="5" t="s">
        <v>1876</v>
      </c>
      <c r="B288" s="5" t="s">
        <v>1506</v>
      </c>
      <c r="C288" s="5" t="s">
        <v>681</v>
      </c>
      <c r="D288" s="5" t="s">
        <v>14</v>
      </c>
      <c r="E288" s="5">
        <v>9.86188598E9</v>
      </c>
      <c r="F288" s="5" t="s">
        <v>682</v>
      </c>
      <c r="H288" s="35">
        <v>33196.0</v>
      </c>
      <c r="I288" s="5" t="s">
        <v>156</v>
      </c>
      <c r="J288" s="5" t="s">
        <v>39</v>
      </c>
      <c r="K288" s="5" t="b">
        <v>0</v>
      </c>
      <c r="L288" s="5" t="b">
        <v>0</v>
      </c>
      <c r="N288" s="5">
        <v>3000.0</v>
      </c>
      <c r="O288" s="5">
        <v>0.0</v>
      </c>
      <c r="P288" s="5">
        <v>0.0</v>
      </c>
      <c r="R288" s="5" t="b">
        <v>0</v>
      </c>
      <c r="U288" s="5" t="s">
        <v>1519</v>
      </c>
      <c r="V288" s="5" t="s">
        <v>1508</v>
      </c>
      <c r="W288" s="5" t="s">
        <v>1548</v>
      </c>
      <c r="X288" s="5" t="s">
        <v>1509</v>
      </c>
      <c r="Z288" s="5">
        <v>3000.0</v>
      </c>
      <c r="AB288" s="5">
        <v>0.0</v>
      </c>
      <c r="AC288" s="5" t="s">
        <v>1510</v>
      </c>
      <c r="AE288" s="5">
        <v>3088.0</v>
      </c>
      <c r="AF288" s="36">
        <v>46106.21606199074</v>
      </c>
      <c r="AG288" s="5" t="s">
        <v>1549</v>
      </c>
    </row>
    <row r="289" ht="22.5" hidden="1" customHeight="1">
      <c r="A289" s="5" t="s">
        <v>1877</v>
      </c>
      <c r="B289" s="5" t="s">
        <v>1506</v>
      </c>
      <c r="C289" s="5" t="s">
        <v>683</v>
      </c>
      <c r="D289" s="5" t="s">
        <v>14</v>
      </c>
      <c r="E289" s="5">
        <v>9.861900586E9</v>
      </c>
      <c r="F289" s="5" t="s">
        <v>445</v>
      </c>
      <c r="H289" s="35">
        <v>34885.0</v>
      </c>
      <c r="I289" s="5" t="s">
        <v>156</v>
      </c>
      <c r="J289" s="5" t="s">
        <v>39</v>
      </c>
      <c r="K289" s="5" t="b">
        <v>0</v>
      </c>
      <c r="L289" s="5" t="b">
        <v>0</v>
      </c>
      <c r="N289" s="5">
        <v>3000.0</v>
      </c>
      <c r="O289" s="5">
        <v>0.0</v>
      </c>
      <c r="P289" s="5">
        <v>0.0</v>
      </c>
      <c r="R289" s="5" t="b">
        <v>0</v>
      </c>
      <c r="U289" s="5" t="s">
        <v>1519</v>
      </c>
      <c r="V289" s="5" t="s">
        <v>1508</v>
      </c>
      <c r="W289" s="5" t="s">
        <v>1548</v>
      </c>
      <c r="X289" s="5" t="s">
        <v>1509</v>
      </c>
      <c r="Z289" s="5">
        <v>3000.0</v>
      </c>
      <c r="AB289" s="5">
        <v>0.0</v>
      </c>
      <c r="AC289" s="5" t="s">
        <v>1510</v>
      </c>
      <c r="AE289" s="5">
        <v>3087.0</v>
      </c>
      <c r="AF289" s="36">
        <v>46106.213181770836</v>
      </c>
      <c r="AG289" s="5" t="s">
        <v>1549</v>
      </c>
    </row>
    <row r="290" ht="22.5" hidden="1" customHeight="1">
      <c r="A290" s="5" t="s">
        <v>1878</v>
      </c>
      <c r="B290" s="5" t="s">
        <v>1506</v>
      </c>
      <c r="C290" s="5" t="s">
        <v>447</v>
      </c>
      <c r="D290" s="5" t="s">
        <v>14</v>
      </c>
      <c r="E290" s="5">
        <v>9.86148405E9</v>
      </c>
      <c r="F290" s="5" t="s">
        <v>448</v>
      </c>
      <c r="G290" s="5">
        <v>7199390.0</v>
      </c>
      <c r="H290" s="35">
        <v>37732.0</v>
      </c>
      <c r="I290" s="5" t="s">
        <v>16</v>
      </c>
      <c r="J290" s="5" t="s">
        <v>39</v>
      </c>
      <c r="K290" s="5" t="b">
        <v>0</v>
      </c>
      <c r="L290" s="5" t="b">
        <v>0</v>
      </c>
      <c r="N290" s="5">
        <v>3000.0</v>
      </c>
      <c r="O290" s="5">
        <v>0.0</v>
      </c>
      <c r="P290" s="5">
        <v>0.0</v>
      </c>
      <c r="R290" s="5" t="b">
        <v>0</v>
      </c>
      <c r="U290" s="5" t="s">
        <v>1517</v>
      </c>
      <c r="V290" s="5" t="s">
        <v>1508</v>
      </c>
      <c r="W290" s="5" t="s">
        <v>1548</v>
      </c>
      <c r="X290" s="5" t="s">
        <v>1509</v>
      </c>
      <c r="Z290" s="5">
        <v>2250.0</v>
      </c>
      <c r="AA290" s="5" t="s">
        <v>1556</v>
      </c>
      <c r="AB290" s="5">
        <v>750.0</v>
      </c>
      <c r="AC290" s="5" t="s">
        <v>1510</v>
      </c>
      <c r="AE290" s="5">
        <v>3086.0</v>
      </c>
      <c r="AF290" s="36">
        <v>46106.19637951389</v>
      </c>
      <c r="AG290" s="5" t="s">
        <v>1879</v>
      </c>
    </row>
    <row r="291" ht="22.5" hidden="1" customHeight="1">
      <c r="A291" s="5" t="s">
        <v>1880</v>
      </c>
      <c r="B291" s="5" t="s">
        <v>1506</v>
      </c>
      <c r="C291" s="5" t="s">
        <v>862</v>
      </c>
      <c r="D291" s="5" t="s">
        <v>151</v>
      </c>
      <c r="E291" s="25" t="s">
        <v>1881</v>
      </c>
      <c r="F291" s="5" t="s">
        <v>863</v>
      </c>
      <c r="G291" s="5">
        <v>6976017.0</v>
      </c>
      <c r="H291" s="35">
        <v>40183.0</v>
      </c>
      <c r="I291" s="5" t="s">
        <v>156</v>
      </c>
      <c r="J291" s="5" t="s">
        <v>39</v>
      </c>
      <c r="K291" s="5" t="b">
        <v>0</v>
      </c>
      <c r="L291" s="5" t="b">
        <v>0</v>
      </c>
      <c r="N291" s="5">
        <v>3000.0</v>
      </c>
      <c r="O291" s="5">
        <v>0.0</v>
      </c>
      <c r="P291" s="5">
        <v>0.0</v>
      </c>
      <c r="R291" s="5" t="b">
        <v>0</v>
      </c>
      <c r="U291" s="5" t="s">
        <v>1507</v>
      </c>
      <c r="V291" s="5" t="s">
        <v>1508</v>
      </c>
      <c r="W291" s="5" t="s">
        <v>1508</v>
      </c>
      <c r="X291" s="5" t="s">
        <v>1509</v>
      </c>
      <c r="Z291" s="5">
        <v>3000.0</v>
      </c>
      <c r="AB291" s="5">
        <v>0.0</v>
      </c>
      <c r="AC291" s="5" t="s">
        <v>1510</v>
      </c>
      <c r="AD291" s="5" t="s">
        <v>1511</v>
      </c>
      <c r="AE291" s="5">
        <v>3100.0</v>
      </c>
      <c r="AF291" s="36">
        <v>46106.176491342594</v>
      </c>
    </row>
    <row r="292" ht="22.5" hidden="1" customHeight="1">
      <c r="A292" s="5" t="s">
        <v>1882</v>
      </c>
      <c r="B292" s="5" t="s">
        <v>1506</v>
      </c>
      <c r="C292" s="5" t="s">
        <v>684</v>
      </c>
      <c r="D292" s="5" t="s">
        <v>14</v>
      </c>
      <c r="E292" s="5">
        <v>9.851064802E9</v>
      </c>
      <c r="F292" s="5" t="s">
        <v>685</v>
      </c>
      <c r="H292" s="35">
        <v>26034.0</v>
      </c>
      <c r="I292" s="5" t="s">
        <v>156</v>
      </c>
      <c r="J292" s="5" t="s">
        <v>39</v>
      </c>
      <c r="K292" s="5" t="b">
        <v>0</v>
      </c>
      <c r="L292" s="5" t="b">
        <v>0</v>
      </c>
      <c r="N292" s="5">
        <v>3000.0</v>
      </c>
      <c r="O292" s="5">
        <v>0.0</v>
      </c>
      <c r="P292" s="5">
        <v>0.0</v>
      </c>
      <c r="R292" s="5" t="b">
        <v>0</v>
      </c>
      <c r="U292" s="5" t="s">
        <v>1507</v>
      </c>
      <c r="V292" s="5" t="s">
        <v>1508</v>
      </c>
      <c r="W292" s="5" t="s">
        <v>1508</v>
      </c>
      <c r="X292" s="5" t="s">
        <v>1509</v>
      </c>
      <c r="Z292" s="5">
        <v>2250.0</v>
      </c>
      <c r="AA292" s="5" t="s">
        <v>1556</v>
      </c>
      <c r="AB292" s="5">
        <v>750.0</v>
      </c>
      <c r="AC292" s="5" t="s">
        <v>1510</v>
      </c>
      <c r="AE292" s="5">
        <v>3094.0</v>
      </c>
      <c r="AF292" s="36">
        <v>46106.16326875</v>
      </c>
      <c r="AG292" s="5" t="s">
        <v>1883</v>
      </c>
    </row>
    <row r="293" ht="22.5" hidden="1" customHeight="1">
      <c r="A293" s="5" t="s">
        <v>1884</v>
      </c>
      <c r="B293" s="5" t="s">
        <v>1506</v>
      </c>
      <c r="C293" s="5" t="s">
        <v>686</v>
      </c>
      <c r="D293" s="5" t="s">
        <v>14</v>
      </c>
      <c r="E293" s="5">
        <v>9.851045454E9</v>
      </c>
      <c r="F293" s="5" t="s">
        <v>687</v>
      </c>
      <c r="H293" s="35">
        <v>27861.0</v>
      </c>
      <c r="I293" s="5" t="s">
        <v>156</v>
      </c>
      <c r="J293" s="5" t="s">
        <v>39</v>
      </c>
      <c r="K293" s="5" t="b">
        <v>0</v>
      </c>
      <c r="L293" s="5" t="b">
        <v>0</v>
      </c>
      <c r="N293" s="5">
        <v>3000.0</v>
      </c>
      <c r="O293" s="5">
        <v>0.0</v>
      </c>
      <c r="P293" s="5">
        <v>0.0</v>
      </c>
      <c r="R293" s="5" t="b">
        <v>0</v>
      </c>
      <c r="U293" s="5" t="s">
        <v>1517</v>
      </c>
      <c r="V293" s="5" t="s">
        <v>1508</v>
      </c>
      <c r="W293" s="5" t="s">
        <v>1508</v>
      </c>
      <c r="X293" s="5" t="s">
        <v>1509</v>
      </c>
      <c r="Z293" s="5">
        <v>2250.0</v>
      </c>
      <c r="AA293" s="5" t="s">
        <v>1556</v>
      </c>
      <c r="AB293" s="5">
        <v>750.0</v>
      </c>
      <c r="AC293" s="5" t="s">
        <v>1510</v>
      </c>
      <c r="AE293" s="5">
        <v>3085.0</v>
      </c>
      <c r="AF293" s="36">
        <v>46105.689583506944</v>
      </c>
    </row>
    <row r="294" ht="22.5" customHeight="1">
      <c r="A294" s="5" t="s">
        <v>1885</v>
      </c>
      <c r="B294" s="5" t="s">
        <v>1506</v>
      </c>
      <c r="C294" s="5" t="s">
        <v>90</v>
      </c>
      <c r="D294" s="5" t="s">
        <v>14</v>
      </c>
      <c r="E294" s="5">
        <v>9.843085348E9</v>
      </c>
      <c r="F294" s="5" t="s">
        <v>91</v>
      </c>
      <c r="H294" s="35">
        <v>37806.0</v>
      </c>
      <c r="I294" s="5" t="s">
        <v>16</v>
      </c>
      <c r="J294" s="5" t="s">
        <v>17</v>
      </c>
      <c r="K294" s="5" t="b">
        <v>0</v>
      </c>
      <c r="L294" s="5" t="b">
        <v>0</v>
      </c>
      <c r="N294" s="5">
        <v>1500.0</v>
      </c>
      <c r="O294" s="5">
        <v>0.0</v>
      </c>
      <c r="P294" s="5">
        <v>0.0</v>
      </c>
      <c r="R294" s="5" t="b">
        <v>0</v>
      </c>
      <c r="U294" s="5" t="s">
        <v>1519</v>
      </c>
      <c r="V294" s="5" t="s">
        <v>1508</v>
      </c>
      <c r="W294" s="5" t="s">
        <v>1508</v>
      </c>
      <c r="X294" s="5" t="s">
        <v>1509</v>
      </c>
      <c r="Z294" s="5">
        <v>1500.0</v>
      </c>
      <c r="AB294" s="5">
        <v>0.0</v>
      </c>
      <c r="AC294" s="5" t="s">
        <v>1510</v>
      </c>
      <c r="AE294" s="5">
        <v>4073.0</v>
      </c>
      <c r="AF294" s="36">
        <v>46105.68209585648</v>
      </c>
    </row>
    <row r="295" ht="22.5" customHeight="1">
      <c r="A295" s="5" t="s">
        <v>1886</v>
      </c>
      <c r="B295" s="5" t="s">
        <v>1506</v>
      </c>
      <c r="C295" s="5" t="s">
        <v>92</v>
      </c>
      <c r="D295" s="5" t="s">
        <v>14</v>
      </c>
      <c r="E295" s="5">
        <v>9.808046553E9</v>
      </c>
      <c r="F295" s="5" t="s">
        <v>93</v>
      </c>
      <c r="H295" s="35">
        <v>34847.0</v>
      </c>
      <c r="I295" s="5" t="s">
        <v>16</v>
      </c>
      <c r="J295" s="5" t="s">
        <v>17</v>
      </c>
      <c r="K295" s="5" t="b">
        <v>0</v>
      </c>
      <c r="L295" s="5" t="b">
        <v>0</v>
      </c>
      <c r="N295" s="5">
        <v>1500.0</v>
      </c>
      <c r="O295" s="5">
        <v>0.0</v>
      </c>
      <c r="P295" s="5">
        <v>0.0</v>
      </c>
      <c r="R295" s="5" t="b">
        <v>0</v>
      </c>
      <c r="U295" s="5" t="s">
        <v>1580</v>
      </c>
      <c r="V295" s="5" t="s">
        <v>1508</v>
      </c>
      <c r="W295" s="5" t="s">
        <v>1508</v>
      </c>
      <c r="X295" s="5" t="s">
        <v>1509</v>
      </c>
      <c r="Z295" s="5">
        <v>1500.0</v>
      </c>
      <c r="AB295" s="5">
        <v>0.0</v>
      </c>
      <c r="AC295" s="5" t="s">
        <v>1510</v>
      </c>
      <c r="AE295" s="5">
        <v>4072.0</v>
      </c>
      <c r="AF295" s="36">
        <v>46105.67359856481</v>
      </c>
    </row>
    <row r="296" ht="22.5" customHeight="1">
      <c r="A296" s="5" t="s">
        <v>1887</v>
      </c>
      <c r="B296" s="5" t="s">
        <v>1506</v>
      </c>
      <c r="C296" s="5" t="s">
        <v>94</v>
      </c>
      <c r="D296" s="5" t="s">
        <v>14</v>
      </c>
      <c r="E296" s="5">
        <v>9.866291019E9</v>
      </c>
      <c r="F296" s="5" t="s">
        <v>95</v>
      </c>
      <c r="H296" s="35">
        <v>37827.0</v>
      </c>
      <c r="I296" s="5" t="s">
        <v>16</v>
      </c>
      <c r="J296" s="5" t="s">
        <v>17</v>
      </c>
      <c r="K296" s="5" t="b">
        <v>0</v>
      </c>
      <c r="L296" s="5" t="b">
        <v>0</v>
      </c>
      <c r="N296" s="5">
        <v>1500.0</v>
      </c>
      <c r="O296" s="5">
        <v>0.0</v>
      </c>
      <c r="P296" s="5">
        <v>0.0</v>
      </c>
      <c r="R296" s="5" t="b">
        <v>0</v>
      </c>
      <c r="U296" s="5" t="s">
        <v>1507</v>
      </c>
      <c r="V296" s="5" t="s">
        <v>1508</v>
      </c>
      <c r="W296" s="5" t="s">
        <v>1548</v>
      </c>
      <c r="X296" s="5" t="s">
        <v>1509</v>
      </c>
      <c r="Z296" s="5">
        <v>1500.0</v>
      </c>
      <c r="AB296" s="5">
        <v>0.0</v>
      </c>
      <c r="AC296" s="5" t="s">
        <v>1510</v>
      </c>
      <c r="AE296" s="5">
        <v>4071.0</v>
      </c>
      <c r="AF296" s="36">
        <v>46105.673289363425</v>
      </c>
      <c r="AG296" s="5" t="s">
        <v>1549</v>
      </c>
    </row>
    <row r="297" ht="22.5" customHeight="1">
      <c r="A297" s="5" t="s">
        <v>1888</v>
      </c>
      <c r="B297" s="5" t="s">
        <v>1506</v>
      </c>
      <c r="C297" s="5" t="s">
        <v>94</v>
      </c>
      <c r="D297" s="5" t="s">
        <v>14</v>
      </c>
      <c r="E297" s="5">
        <v>9.866291019E9</v>
      </c>
      <c r="F297" s="5" t="s">
        <v>95</v>
      </c>
      <c r="H297" s="35">
        <v>37827.0</v>
      </c>
      <c r="I297" s="5" t="s">
        <v>16</v>
      </c>
      <c r="J297" s="5" t="s">
        <v>17</v>
      </c>
      <c r="K297" s="5" t="b">
        <v>0</v>
      </c>
      <c r="L297" s="5" t="b">
        <v>0</v>
      </c>
      <c r="N297" s="5">
        <v>1500.0</v>
      </c>
      <c r="O297" s="5">
        <v>0.0</v>
      </c>
      <c r="P297" s="5">
        <v>0.0</v>
      </c>
      <c r="R297" s="5" t="b">
        <v>0</v>
      </c>
      <c r="U297" s="5" t="s">
        <v>1514</v>
      </c>
      <c r="V297" s="5" t="s">
        <v>1508</v>
      </c>
      <c r="W297" s="5" t="s">
        <v>1548</v>
      </c>
      <c r="X297" s="5" t="s">
        <v>1509</v>
      </c>
      <c r="Z297" s="5">
        <v>1500.0</v>
      </c>
      <c r="AB297" s="5">
        <v>0.0</v>
      </c>
      <c r="AC297" s="5" t="s">
        <v>1510</v>
      </c>
      <c r="AD297" s="5" t="s">
        <v>1558</v>
      </c>
      <c r="AE297" s="5">
        <v>4186.0</v>
      </c>
      <c r="AF297" s="36">
        <v>46105.672005277775</v>
      </c>
      <c r="AG297" s="5" t="s">
        <v>1889</v>
      </c>
    </row>
    <row r="298" ht="22.5" hidden="1" customHeight="1">
      <c r="A298" s="5" t="s">
        <v>1890</v>
      </c>
      <c r="B298" s="5" t="s">
        <v>1506</v>
      </c>
      <c r="C298" s="5" t="s">
        <v>510</v>
      </c>
      <c r="D298" s="5" t="s">
        <v>151</v>
      </c>
      <c r="E298" s="5">
        <v>9.704583667E9</v>
      </c>
      <c r="F298" s="5" t="s">
        <v>511</v>
      </c>
      <c r="H298" s="35">
        <v>30623.0</v>
      </c>
      <c r="I298" s="5" t="s">
        <v>16</v>
      </c>
      <c r="J298" s="5" t="s">
        <v>39</v>
      </c>
      <c r="K298" s="5" t="b">
        <v>0</v>
      </c>
      <c r="L298" s="5" t="b">
        <v>0</v>
      </c>
      <c r="N298" s="5">
        <v>25.0</v>
      </c>
      <c r="O298" s="5">
        <v>0.0</v>
      </c>
      <c r="P298" s="5">
        <v>0.0</v>
      </c>
      <c r="R298" s="5" t="b">
        <v>0</v>
      </c>
      <c r="U298" s="5" t="s">
        <v>1519</v>
      </c>
      <c r="V298" s="5" t="s">
        <v>1508</v>
      </c>
      <c r="W298" s="5" t="s">
        <v>1508</v>
      </c>
      <c r="X298" s="5" t="s">
        <v>1509</v>
      </c>
      <c r="Z298" s="5">
        <v>25.0</v>
      </c>
      <c r="AB298" s="5">
        <v>0.0</v>
      </c>
      <c r="AC298" s="5" t="s">
        <v>1546</v>
      </c>
      <c r="AD298" s="5" t="s">
        <v>1511</v>
      </c>
      <c r="AE298" s="5">
        <v>3098.0</v>
      </c>
      <c r="AF298" s="36">
        <v>46105.66967746528</v>
      </c>
    </row>
    <row r="299" ht="22.5" customHeight="1">
      <c r="A299" s="5" t="s">
        <v>1891</v>
      </c>
      <c r="B299" s="5" t="s">
        <v>1506</v>
      </c>
      <c r="C299" s="5" t="s">
        <v>1892</v>
      </c>
      <c r="D299" s="5" t="s">
        <v>14</v>
      </c>
      <c r="E299" s="5">
        <v>9.746428585E9</v>
      </c>
      <c r="F299" s="5" t="s">
        <v>271</v>
      </c>
      <c r="H299" s="35">
        <v>34757.0</v>
      </c>
      <c r="I299" s="5" t="s">
        <v>156</v>
      </c>
      <c r="J299" s="5" t="s">
        <v>17</v>
      </c>
      <c r="K299" s="5" t="b">
        <v>0</v>
      </c>
      <c r="L299" s="5" t="b">
        <v>0</v>
      </c>
      <c r="N299" s="5">
        <v>1500.0</v>
      </c>
      <c r="O299" s="5">
        <v>0.0</v>
      </c>
      <c r="P299" s="5">
        <v>0.0</v>
      </c>
      <c r="R299" s="5" t="b">
        <v>0</v>
      </c>
      <c r="U299" s="5" t="s">
        <v>1514</v>
      </c>
      <c r="V299" s="5" t="s">
        <v>1508</v>
      </c>
      <c r="W299" s="5" t="s">
        <v>1508</v>
      </c>
      <c r="X299" s="5" t="s">
        <v>1509</v>
      </c>
      <c r="Z299" s="5">
        <v>1500.0</v>
      </c>
      <c r="AB299" s="5">
        <v>0.0</v>
      </c>
      <c r="AC299" s="5" t="s">
        <v>1510</v>
      </c>
      <c r="AE299" s="5">
        <v>4070.0</v>
      </c>
      <c r="AF299" s="36">
        <v>46105.5817275463</v>
      </c>
    </row>
    <row r="300" ht="22.5" hidden="1" customHeight="1">
      <c r="A300" s="5" t="s">
        <v>1893</v>
      </c>
      <c r="B300" s="5" t="s">
        <v>1506</v>
      </c>
      <c r="C300" s="5" t="s">
        <v>688</v>
      </c>
      <c r="D300" s="5" t="s">
        <v>14</v>
      </c>
      <c r="E300" s="25" t="s">
        <v>689</v>
      </c>
      <c r="F300" s="5" t="s">
        <v>690</v>
      </c>
      <c r="H300" s="35">
        <v>35565.0</v>
      </c>
      <c r="I300" s="5" t="s">
        <v>156</v>
      </c>
      <c r="J300" s="5" t="s">
        <v>39</v>
      </c>
      <c r="K300" s="5" t="b">
        <v>0</v>
      </c>
      <c r="L300" s="5" t="b">
        <v>0</v>
      </c>
      <c r="N300" s="5">
        <v>3000.0</v>
      </c>
      <c r="O300" s="5">
        <v>0.0</v>
      </c>
      <c r="P300" s="5">
        <v>0.0</v>
      </c>
      <c r="R300" s="5" t="b">
        <v>0</v>
      </c>
      <c r="U300" s="5" t="s">
        <v>1519</v>
      </c>
      <c r="V300" s="5" t="s">
        <v>1508</v>
      </c>
      <c r="W300" s="5" t="s">
        <v>1508</v>
      </c>
      <c r="X300" s="5" t="s">
        <v>1509</v>
      </c>
      <c r="Z300" s="5">
        <v>2400.0</v>
      </c>
      <c r="AA300" s="5" t="s">
        <v>1591</v>
      </c>
      <c r="AB300" s="5">
        <v>600.0</v>
      </c>
      <c r="AC300" s="5" t="s">
        <v>1510</v>
      </c>
      <c r="AE300" s="5">
        <v>3077.0</v>
      </c>
      <c r="AF300" s="36">
        <v>46105.56166939815</v>
      </c>
    </row>
    <row r="301" ht="22.5" customHeight="1">
      <c r="A301" s="5" t="s">
        <v>1894</v>
      </c>
      <c r="B301" s="5" t="s">
        <v>1506</v>
      </c>
      <c r="C301" s="5" t="s">
        <v>272</v>
      </c>
      <c r="D301" s="5" t="s">
        <v>14</v>
      </c>
      <c r="E301" s="5">
        <v>9.823475929E9</v>
      </c>
      <c r="F301" s="5" t="s">
        <v>273</v>
      </c>
      <c r="H301" s="35">
        <v>31365.0</v>
      </c>
      <c r="I301" s="5" t="s">
        <v>156</v>
      </c>
      <c r="J301" s="5" t="s">
        <v>17</v>
      </c>
      <c r="K301" s="5" t="b">
        <v>0</v>
      </c>
      <c r="L301" s="5" t="b">
        <v>0</v>
      </c>
      <c r="N301" s="5">
        <v>1500.0</v>
      </c>
      <c r="O301" s="5">
        <v>0.0</v>
      </c>
      <c r="P301" s="5">
        <v>0.0</v>
      </c>
      <c r="R301" s="5" t="b">
        <v>0</v>
      </c>
      <c r="U301" s="5" t="s">
        <v>1514</v>
      </c>
      <c r="V301" s="5" t="s">
        <v>1508</v>
      </c>
      <c r="W301" s="5" t="s">
        <v>1508</v>
      </c>
      <c r="X301" s="5" t="s">
        <v>1509</v>
      </c>
      <c r="Z301" s="5">
        <v>1500.0</v>
      </c>
      <c r="AB301" s="5">
        <v>0.0</v>
      </c>
      <c r="AC301" s="5" t="s">
        <v>1510</v>
      </c>
      <c r="AE301" s="5">
        <v>4069.0</v>
      </c>
      <c r="AF301" s="36">
        <v>46105.559609675925</v>
      </c>
    </row>
    <row r="302" ht="22.5" hidden="1" customHeight="1">
      <c r="A302" s="5" t="s">
        <v>1895</v>
      </c>
      <c r="B302" s="5" t="s">
        <v>1506</v>
      </c>
      <c r="C302" s="5" t="s">
        <v>449</v>
      </c>
      <c r="D302" s="5" t="s">
        <v>14</v>
      </c>
      <c r="E302" s="5">
        <v>9.860082381E9</v>
      </c>
      <c r="F302" s="5" t="s">
        <v>450</v>
      </c>
      <c r="G302" s="5">
        <v>7202990.0</v>
      </c>
      <c r="H302" s="35">
        <v>37565.0</v>
      </c>
      <c r="I302" s="5" t="s">
        <v>16</v>
      </c>
      <c r="J302" s="5" t="s">
        <v>39</v>
      </c>
      <c r="K302" s="5" t="b">
        <v>0</v>
      </c>
      <c r="L302" s="5" t="b">
        <v>0</v>
      </c>
      <c r="N302" s="5">
        <v>3000.0</v>
      </c>
      <c r="O302" s="5">
        <v>0.0</v>
      </c>
      <c r="P302" s="5">
        <v>0.0</v>
      </c>
      <c r="R302" s="5" t="b">
        <v>0</v>
      </c>
      <c r="U302" s="5" t="s">
        <v>1519</v>
      </c>
      <c r="V302" s="5" t="s">
        <v>1508</v>
      </c>
      <c r="W302" s="5" t="s">
        <v>1508</v>
      </c>
      <c r="X302" s="5" t="s">
        <v>1509</v>
      </c>
      <c r="Z302" s="5">
        <v>2400.0</v>
      </c>
      <c r="AA302" s="5" t="s">
        <v>1591</v>
      </c>
      <c r="AB302" s="5">
        <v>600.0</v>
      </c>
      <c r="AC302" s="5" t="s">
        <v>1510</v>
      </c>
      <c r="AE302" s="5">
        <v>3076.0</v>
      </c>
      <c r="AF302" s="36">
        <v>46105.55491251157</v>
      </c>
      <c r="AG302" s="5" t="s">
        <v>1896</v>
      </c>
    </row>
    <row r="303" ht="22.5" hidden="1" customHeight="1">
      <c r="A303" s="5" t="s">
        <v>1897</v>
      </c>
      <c r="B303" s="5" t="s">
        <v>1506</v>
      </c>
      <c r="C303" s="5" t="s">
        <v>1402</v>
      </c>
      <c r="D303" s="5" t="s">
        <v>14</v>
      </c>
      <c r="E303" s="5">
        <v>9.803073542E9</v>
      </c>
      <c r="F303" s="5" t="s">
        <v>1403</v>
      </c>
      <c r="G303" s="5">
        <v>5291707.0</v>
      </c>
      <c r="H303" s="35">
        <v>28488.0</v>
      </c>
      <c r="I303" s="5" t="s">
        <v>156</v>
      </c>
      <c r="J303" s="5" t="s">
        <v>46</v>
      </c>
      <c r="K303" s="5" t="b">
        <v>0</v>
      </c>
      <c r="L303" s="5" t="b">
        <v>0</v>
      </c>
      <c r="N303" s="5">
        <v>9000.0</v>
      </c>
      <c r="O303" s="5">
        <v>0.0</v>
      </c>
      <c r="P303" s="5">
        <v>0.0</v>
      </c>
      <c r="R303" s="5" t="b">
        <v>0</v>
      </c>
      <c r="U303" s="5" t="s">
        <v>1517</v>
      </c>
      <c r="V303" s="5" t="s">
        <v>1508</v>
      </c>
      <c r="W303" s="5" t="s">
        <v>1508</v>
      </c>
      <c r="X303" s="5" t="s">
        <v>1509</v>
      </c>
      <c r="Z303" s="5">
        <v>9000.0</v>
      </c>
      <c r="AB303" s="5">
        <v>0.0</v>
      </c>
      <c r="AC303" s="5" t="s">
        <v>1510</v>
      </c>
      <c r="AE303" s="5">
        <v>1526.0</v>
      </c>
      <c r="AF303" s="36">
        <v>46105.274084467594</v>
      </c>
    </row>
    <row r="304" ht="22.5" customHeight="1">
      <c r="A304" s="5" t="s">
        <v>1898</v>
      </c>
      <c r="B304" s="5" t="s">
        <v>1506</v>
      </c>
      <c r="C304" s="5" t="s">
        <v>1899</v>
      </c>
      <c r="D304" s="5" t="s">
        <v>14</v>
      </c>
      <c r="E304" s="5">
        <v>9.819160548E9</v>
      </c>
      <c r="F304" s="5" t="s">
        <v>275</v>
      </c>
      <c r="H304" s="35">
        <v>36880.0</v>
      </c>
      <c r="I304" s="5" t="s">
        <v>156</v>
      </c>
      <c r="J304" s="5" t="s">
        <v>17</v>
      </c>
      <c r="K304" s="5" t="b">
        <v>0</v>
      </c>
      <c r="L304" s="5" t="b">
        <v>0</v>
      </c>
      <c r="N304" s="5">
        <v>1500.0</v>
      </c>
      <c r="O304" s="5">
        <v>0.0</v>
      </c>
      <c r="P304" s="5">
        <v>0.0</v>
      </c>
      <c r="R304" s="5" t="b">
        <v>0</v>
      </c>
      <c r="U304" s="5" t="s">
        <v>1517</v>
      </c>
      <c r="V304" s="5" t="s">
        <v>1508</v>
      </c>
      <c r="W304" s="5" t="s">
        <v>1508</v>
      </c>
      <c r="X304" s="5" t="s">
        <v>1509</v>
      </c>
      <c r="Z304" s="5">
        <v>1500.0</v>
      </c>
      <c r="AB304" s="5">
        <v>0.0</v>
      </c>
      <c r="AC304" s="5" t="s">
        <v>1510</v>
      </c>
      <c r="AE304" s="5">
        <v>4068.0</v>
      </c>
      <c r="AF304" s="36">
        <v>46105.03126398148</v>
      </c>
    </row>
    <row r="305" ht="22.5" customHeight="1">
      <c r="A305" s="5" t="s">
        <v>1900</v>
      </c>
      <c r="B305" s="5" t="s">
        <v>1506</v>
      </c>
      <c r="C305" s="5" t="s">
        <v>276</v>
      </c>
      <c r="D305" s="5" t="s">
        <v>14</v>
      </c>
      <c r="E305" s="5">
        <v>9.863790332E9</v>
      </c>
      <c r="F305" s="5" t="s">
        <v>277</v>
      </c>
      <c r="H305" s="35">
        <v>37773.0</v>
      </c>
      <c r="I305" s="5" t="s">
        <v>156</v>
      </c>
      <c r="J305" s="5" t="s">
        <v>17</v>
      </c>
      <c r="K305" s="5" t="b">
        <v>0</v>
      </c>
      <c r="L305" s="5" t="b">
        <v>0</v>
      </c>
      <c r="N305" s="5">
        <v>1500.0</v>
      </c>
      <c r="O305" s="5">
        <v>0.0</v>
      </c>
      <c r="P305" s="5">
        <v>0.0</v>
      </c>
      <c r="R305" s="5" t="b">
        <v>0</v>
      </c>
      <c r="U305" s="5" t="s">
        <v>1517</v>
      </c>
      <c r="V305" s="5" t="s">
        <v>1508</v>
      </c>
      <c r="W305" s="5" t="s">
        <v>1508</v>
      </c>
      <c r="X305" s="5" t="s">
        <v>1509</v>
      </c>
      <c r="Z305" s="5">
        <v>1500.0</v>
      </c>
      <c r="AB305" s="5">
        <v>0.0</v>
      </c>
      <c r="AC305" s="5" t="s">
        <v>1510</v>
      </c>
      <c r="AE305" s="5">
        <v>4067.0</v>
      </c>
      <c r="AF305" s="36">
        <v>46105.029792546295</v>
      </c>
    </row>
    <row r="306" ht="22.5" hidden="1" customHeight="1">
      <c r="A306" s="5" t="s">
        <v>1901</v>
      </c>
      <c r="B306" s="5" t="s">
        <v>1506</v>
      </c>
      <c r="C306" s="5" t="s">
        <v>941</v>
      </c>
      <c r="D306" s="5" t="s">
        <v>942</v>
      </c>
      <c r="E306" s="25" t="s">
        <v>943</v>
      </c>
      <c r="F306" s="5" t="s">
        <v>944</v>
      </c>
      <c r="H306" s="35">
        <v>28812.0</v>
      </c>
      <c r="I306" s="5" t="s">
        <v>16</v>
      </c>
      <c r="J306" s="5" t="s">
        <v>42</v>
      </c>
      <c r="K306" s="5" t="b">
        <v>0</v>
      </c>
      <c r="L306" s="5" t="b">
        <v>0</v>
      </c>
      <c r="N306" s="5">
        <v>80.0</v>
      </c>
      <c r="O306" s="5">
        <v>0.0</v>
      </c>
      <c r="P306" s="5">
        <v>0.0</v>
      </c>
      <c r="R306" s="5" t="b">
        <v>0</v>
      </c>
      <c r="U306" s="5" t="s">
        <v>1519</v>
      </c>
      <c r="V306" s="5" t="s">
        <v>1508</v>
      </c>
      <c r="W306" s="5" t="s">
        <v>1508</v>
      </c>
      <c r="X306" s="5" t="s">
        <v>1509</v>
      </c>
      <c r="Z306" s="5">
        <v>80.0</v>
      </c>
      <c r="AB306" s="5">
        <v>0.0</v>
      </c>
      <c r="AC306" s="5" t="s">
        <v>1546</v>
      </c>
      <c r="AD306" s="5" t="s">
        <v>1511</v>
      </c>
      <c r="AE306" s="5">
        <v>2081.0</v>
      </c>
      <c r="AF306" s="36">
        <v>46104.696480983795</v>
      </c>
    </row>
    <row r="307" ht="22.5" hidden="1" customHeight="1">
      <c r="A307" s="5" t="s">
        <v>1902</v>
      </c>
      <c r="B307" s="5" t="s">
        <v>1506</v>
      </c>
      <c r="C307" s="5" t="s">
        <v>691</v>
      </c>
      <c r="D307" s="5" t="s">
        <v>14</v>
      </c>
      <c r="E307" s="5">
        <v>9.860824909E9</v>
      </c>
      <c r="F307" s="5" t="s">
        <v>692</v>
      </c>
      <c r="H307" s="35">
        <v>35083.0</v>
      </c>
      <c r="I307" s="5" t="s">
        <v>156</v>
      </c>
      <c r="J307" s="5" t="s">
        <v>39</v>
      </c>
      <c r="K307" s="5" t="b">
        <v>0</v>
      </c>
      <c r="L307" s="5" t="b">
        <v>0</v>
      </c>
      <c r="N307" s="5">
        <v>3000.0</v>
      </c>
      <c r="O307" s="5">
        <v>0.0</v>
      </c>
      <c r="P307" s="5">
        <v>0.0</v>
      </c>
      <c r="R307" s="5" t="b">
        <v>0</v>
      </c>
      <c r="U307" s="5" t="s">
        <v>1517</v>
      </c>
      <c r="V307" s="5" t="s">
        <v>1508</v>
      </c>
      <c r="W307" s="5" t="s">
        <v>1548</v>
      </c>
      <c r="X307" s="5" t="s">
        <v>1509</v>
      </c>
      <c r="Z307" s="5">
        <v>3000.0</v>
      </c>
      <c r="AB307" s="5">
        <v>0.0</v>
      </c>
      <c r="AC307" s="5" t="s">
        <v>1510</v>
      </c>
      <c r="AE307" s="5">
        <v>3073.0</v>
      </c>
      <c r="AF307" s="36">
        <v>46104.65548163195</v>
      </c>
      <c r="AG307" s="5" t="s">
        <v>1549</v>
      </c>
    </row>
    <row r="308" ht="22.5" hidden="1" customHeight="1">
      <c r="A308" s="5" t="s">
        <v>1903</v>
      </c>
      <c r="B308" s="5" t="s">
        <v>1506</v>
      </c>
      <c r="C308" s="5" t="s">
        <v>693</v>
      </c>
      <c r="D308" s="5" t="s">
        <v>14</v>
      </c>
      <c r="E308" s="5">
        <v>9.861586722E9</v>
      </c>
      <c r="F308" s="5" t="s">
        <v>694</v>
      </c>
      <c r="H308" s="35">
        <v>35316.0</v>
      </c>
      <c r="I308" s="5" t="s">
        <v>156</v>
      </c>
      <c r="J308" s="5" t="s">
        <v>39</v>
      </c>
      <c r="K308" s="5" t="b">
        <v>0</v>
      </c>
      <c r="L308" s="5" t="b">
        <v>0</v>
      </c>
      <c r="N308" s="5">
        <v>3000.0</v>
      </c>
      <c r="O308" s="5">
        <v>0.0</v>
      </c>
      <c r="P308" s="5">
        <v>0.0</v>
      </c>
      <c r="R308" s="5" t="b">
        <v>0</v>
      </c>
      <c r="U308" s="5" t="s">
        <v>1514</v>
      </c>
      <c r="V308" s="5" t="s">
        <v>1508</v>
      </c>
      <c r="W308" s="5" t="s">
        <v>1508</v>
      </c>
      <c r="X308" s="5" t="s">
        <v>1509</v>
      </c>
      <c r="Z308" s="5">
        <v>3000.0</v>
      </c>
      <c r="AB308" s="5">
        <v>0.0</v>
      </c>
      <c r="AC308" s="5" t="s">
        <v>1510</v>
      </c>
      <c r="AD308" s="5" t="s">
        <v>1511</v>
      </c>
      <c r="AE308" s="5">
        <v>3074.0</v>
      </c>
      <c r="AF308" s="36">
        <v>46104.58558003472</v>
      </c>
    </row>
    <row r="309" ht="22.5" customHeight="1">
      <c r="A309" s="5" t="s">
        <v>1904</v>
      </c>
      <c r="B309" s="5" t="s">
        <v>1506</v>
      </c>
      <c r="C309" s="5" t="s">
        <v>278</v>
      </c>
      <c r="D309" s="5" t="s">
        <v>14</v>
      </c>
      <c r="E309" s="5">
        <v>9.860079032E9</v>
      </c>
      <c r="F309" s="5" t="s">
        <v>279</v>
      </c>
      <c r="H309" s="35">
        <v>32255.0</v>
      </c>
      <c r="I309" s="5" t="s">
        <v>156</v>
      </c>
      <c r="J309" s="5" t="s">
        <v>17</v>
      </c>
      <c r="K309" s="5" t="b">
        <v>0</v>
      </c>
      <c r="L309" s="5" t="b">
        <v>0</v>
      </c>
      <c r="N309" s="5">
        <v>1500.0</v>
      </c>
      <c r="O309" s="5">
        <v>0.0</v>
      </c>
      <c r="P309" s="5">
        <v>0.0</v>
      </c>
      <c r="R309" s="5" t="b">
        <v>0</v>
      </c>
      <c r="U309" s="5" t="s">
        <v>1517</v>
      </c>
      <c r="V309" s="5" t="s">
        <v>1508</v>
      </c>
      <c r="W309" s="5" t="s">
        <v>1548</v>
      </c>
      <c r="X309" s="5" t="s">
        <v>1509</v>
      </c>
      <c r="Z309" s="5">
        <v>1500.0</v>
      </c>
      <c r="AB309" s="5">
        <v>0.0</v>
      </c>
      <c r="AC309" s="5" t="s">
        <v>1510</v>
      </c>
      <c r="AE309" s="5">
        <v>4066.0</v>
      </c>
      <c r="AF309" s="36">
        <v>46104.389824247686</v>
      </c>
      <c r="AG309" s="5" t="s">
        <v>1549</v>
      </c>
    </row>
    <row r="310" ht="22.5" hidden="1" customHeight="1">
      <c r="A310" s="5" t="s">
        <v>1905</v>
      </c>
      <c r="B310" s="5" t="s">
        <v>1506</v>
      </c>
      <c r="C310" s="5" t="s">
        <v>1404</v>
      </c>
      <c r="D310" s="5" t="s">
        <v>14</v>
      </c>
      <c r="E310" s="25" t="s">
        <v>1405</v>
      </c>
      <c r="F310" s="5" t="s">
        <v>1406</v>
      </c>
      <c r="G310" s="5">
        <v>4784644.0</v>
      </c>
      <c r="H310" s="35">
        <v>29569.0</v>
      </c>
      <c r="I310" s="5" t="s">
        <v>156</v>
      </c>
      <c r="J310" s="5" t="s">
        <v>46</v>
      </c>
      <c r="K310" s="5" t="b">
        <v>0</v>
      </c>
      <c r="L310" s="5" t="b">
        <v>0</v>
      </c>
      <c r="N310" s="5">
        <v>9000.0</v>
      </c>
      <c r="O310" s="5">
        <v>0.0</v>
      </c>
      <c r="P310" s="5">
        <v>0.0</v>
      </c>
      <c r="R310" s="5" t="b">
        <v>0</v>
      </c>
      <c r="U310" s="5" t="s">
        <v>1519</v>
      </c>
      <c r="V310" s="5" t="s">
        <v>1508</v>
      </c>
      <c r="W310" s="5" t="s">
        <v>1508</v>
      </c>
      <c r="X310" s="5" t="s">
        <v>1509</v>
      </c>
      <c r="Z310" s="5">
        <v>7200.0</v>
      </c>
      <c r="AA310" s="5" t="s">
        <v>1591</v>
      </c>
      <c r="AB310" s="5">
        <v>1800.0</v>
      </c>
      <c r="AC310" s="5" t="s">
        <v>1510</v>
      </c>
      <c r="AE310" s="5">
        <v>1525.0</v>
      </c>
      <c r="AF310" s="36">
        <v>46104.36239585648</v>
      </c>
    </row>
    <row r="311" ht="22.5" customHeight="1">
      <c r="A311" s="5" t="s">
        <v>1906</v>
      </c>
      <c r="B311" s="5" t="s">
        <v>1506</v>
      </c>
      <c r="C311" s="5" t="s">
        <v>280</v>
      </c>
      <c r="D311" s="5" t="s">
        <v>14</v>
      </c>
      <c r="E311" s="5">
        <v>9.849529947E9</v>
      </c>
      <c r="F311" s="5" t="s">
        <v>281</v>
      </c>
      <c r="H311" s="35">
        <v>31070.0</v>
      </c>
      <c r="I311" s="5" t="s">
        <v>156</v>
      </c>
      <c r="J311" s="5" t="s">
        <v>17</v>
      </c>
      <c r="K311" s="5" t="b">
        <v>0</v>
      </c>
      <c r="L311" s="5" t="b">
        <v>0</v>
      </c>
      <c r="N311" s="5">
        <v>1500.0</v>
      </c>
      <c r="O311" s="5">
        <v>0.0</v>
      </c>
      <c r="P311" s="5">
        <v>0.0</v>
      </c>
      <c r="R311" s="5" t="b">
        <v>0</v>
      </c>
      <c r="U311" s="5" t="s">
        <v>1514</v>
      </c>
      <c r="V311" s="5" t="s">
        <v>1508</v>
      </c>
      <c r="W311" s="5" t="s">
        <v>1508</v>
      </c>
      <c r="X311" s="5" t="s">
        <v>1509</v>
      </c>
      <c r="Z311" s="5">
        <v>1500.0</v>
      </c>
      <c r="AB311" s="5">
        <v>0.0</v>
      </c>
      <c r="AC311" s="5" t="s">
        <v>1510</v>
      </c>
      <c r="AE311" s="5">
        <v>4065.0</v>
      </c>
      <c r="AF311" s="36">
        <v>46104.32057607639</v>
      </c>
    </row>
    <row r="312" ht="22.5" hidden="1" customHeight="1">
      <c r="A312" s="5" t="s">
        <v>1907</v>
      </c>
      <c r="B312" s="5" t="s">
        <v>1506</v>
      </c>
      <c r="C312" s="5" t="s">
        <v>512</v>
      </c>
      <c r="D312" s="5" t="s">
        <v>151</v>
      </c>
      <c r="E312" s="5">
        <v>9.801003025E9</v>
      </c>
      <c r="F312" s="5" t="s">
        <v>513</v>
      </c>
      <c r="H312" s="35">
        <v>28189.0</v>
      </c>
      <c r="I312" s="5" t="s">
        <v>16</v>
      </c>
      <c r="J312" s="5" t="s">
        <v>39</v>
      </c>
      <c r="K312" s="5" t="b">
        <v>0</v>
      </c>
      <c r="L312" s="5" t="b">
        <v>1</v>
      </c>
      <c r="M312" s="5" t="s">
        <v>39</v>
      </c>
      <c r="N312" s="5">
        <v>25.0</v>
      </c>
      <c r="O312" s="5">
        <v>25.0</v>
      </c>
      <c r="P312" s="5">
        <v>0.0</v>
      </c>
      <c r="R312" s="5" t="b">
        <v>0</v>
      </c>
      <c r="S312" s="5" t="s">
        <v>512</v>
      </c>
      <c r="U312" s="5" t="s">
        <v>1514</v>
      </c>
      <c r="V312" s="5" t="s">
        <v>1508</v>
      </c>
      <c r="W312" s="5" t="s">
        <v>1508</v>
      </c>
      <c r="X312" s="5" t="s">
        <v>1509</v>
      </c>
      <c r="Z312" s="5">
        <v>50.0</v>
      </c>
      <c r="AB312" s="5">
        <v>0.0</v>
      </c>
      <c r="AC312" s="5" t="s">
        <v>1546</v>
      </c>
      <c r="AD312" s="5" t="s">
        <v>1511</v>
      </c>
      <c r="AE312" s="5">
        <v>3071.0</v>
      </c>
      <c r="AF312" s="36">
        <v>46104.28146204861</v>
      </c>
      <c r="AG312" s="5" t="s">
        <v>1908</v>
      </c>
    </row>
    <row r="313" ht="22.5" hidden="1" customHeight="1">
      <c r="A313" s="5" t="s">
        <v>1909</v>
      </c>
      <c r="B313" s="5" t="s">
        <v>1506</v>
      </c>
      <c r="C313" s="5" t="s">
        <v>192</v>
      </c>
      <c r="D313" s="5" t="s">
        <v>14</v>
      </c>
      <c r="E313" s="5">
        <v>9.863462629E9</v>
      </c>
      <c r="F313" s="5" t="s">
        <v>695</v>
      </c>
      <c r="H313" s="35">
        <v>34803.0</v>
      </c>
      <c r="I313" s="5" t="s">
        <v>156</v>
      </c>
      <c r="J313" s="5" t="s">
        <v>39</v>
      </c>
      <c r="K313" s="5" t="b">
        <v>0</v>
      </c>
      <c r="L313" s="5" t="b">
        <v>0</v>
      </c>
      <c r="N313" s="5">
        <v>3000.0</v>
      </c>
      <c r="O313" s="5">
        <v>0.0</v>
      </c>
      <c r="P313" s="5">
        <v>0.0</v>
      </c>
      <c r="R313" s="5" t="b">
        <v>0</v>
      </c>
      <c r="U313" s="5" t="s">
        <v>1514</v>
      </c>
      <c r="V313" s="5" t="s">
        <v>1508</v>
      </c>
      <c r="W313" s="5" t="s">
        <v>1508</v>
      </c>
      <c r="X313" s="5" t="s">
        <v>1509</v>
      </c>
      <c r="Z313" s="5">
        <v>3000.0</v>
      </c>
      <c r="AB313" s="5">
        <v>0.0</v>
      </c>
      <c r="AC313" s="5" t="s">
        <v>1510</v>
      </c>
      <c r="AD313" s="5" t="s">
        <v>1511</v>
      </c>
      <c r="AE313" s="5">
        <v>3075.0</v>
      </c>
      <c r="AF313" s="36">
        <v>46103.722287488425</v>
      </c>
    </row>
    <row r="314" ht="22.5" customHeight="1">
      <c r="A314" s="5" t="s">
        <v>1910</v>
      </c>
      <c r="B314" s="5" t="s">
        <v>1506</v>
      </c>
      <c r="C314" s="5" t="s">
        <v>96</v>
      </c>
      <c r="D314" s="5" t="s">
        <v>14</v>
      </c>
      <c r="E314" s="5">
        <v>9.86167E9</v>
      </c>
      <c r="F314" s="5" t="s">
        <v>97</v>
      </c>
      <c r="H314" s="35">
        <v>32873.0</v>
      </c>
      <c r="I314" s="5" t="s">
        <v>16</v>
      </c>
      <c r="J314" s="5" t="s">
        <v>17</v>
      </c>
      <c r="K314" s="5" t="b">
        <v>0</v>
      </c>
      <c r="L314" s="5" t="b">
        <v>0</v>
      </c>
      <c r="N314" s="5">
        <v>1500.0</v>
      </c>
      <c r="O314" s="5">
        <v>0.0</v>
      </c>
      <c r="P314" s="5">
        <v>0.0</v>
      </c>
      <c r="R314" s="5" t="b">
        <v>0</v>
      </c>
      <c r="U314" s="5" t="s">
        <v>1519</v>
      </c>
      <c r="V314" s="5" t="s">
        <v>1508</v>
      </c>
      <c r="W314" s="5" t="s">
        <v>1508</v>
      </c>
      <c r="X314" s="5" t="s">
        <v>1509</v>
      </c>
      <c r="Z314" s="5">
        <v>1500.0</v>
      </c>
      <c r="AB314" s="5">
        <v>0.0</v>
      </c>
      <c r="AC314" s="5" t="s">
        <v>1510</v>
      </c>
      <c r="AE314" s="5">
        <v>4064.0</v>
      </c>
      <c r="AF314" s="36">
        <v>46103.664662256946</v>
      </c>
    </row>
    <row r="315" ht="22.5" customHeight="1">
      <c r="A315" s="5" t="s">
        <v>1911</v>
      </c>
      <c r="B315" s="5" t="s">
        <v>1506</v>
      </c>
      <c r="C315" s="5" t="s">
        <v>282</v>
      </c>
      <c r="D315" s="5" t="s">
        <v>14</v>
      </c>
      <c r="E315" s="5">
        <v>9.81320321E9</v>
      </c>
      <c r="F315" s="5" t="s">
        <v>283</v>
      </c>
      <c r="H315" s="35">
        <v>40551.0</v>
      </c>
      <c r="I315" s="5" t="s">
        <v>156</v>
      </c>
      <c r="J315" s="5" t="s">
        <v>17</v>
      </c>
      <c r="K315" s="5" t="b">
        <v>0</v>
      </c>
      <c r="L315" s="5" t="b">
        <v>0</v>
      </c>
      <c r="N315" s="5">
        <v>1500.0</v>
      </c>
      <c r="O315" s="5">
        <v>0.0</v>
      </c>
      <c r="P315" s="5">
        <v>0.0</v>
      </c>
      <c r="R315" s="5" t="b">
        <v>0</v>
      </c>
      <c r="U315" s="5" t="s">
        <v>1517</v>
      </c>
      <c r="V315" s="5" t="s">
        <v>1508</v>
      </c>
      <c r="W315" s="5" t="s">
        <v>1508</v>
      </c>
      <c r="X315" s="5" t="s">
        <v>1509</v>
      </c>
      <c r="Z315" s="5">
        <v>1500.0</v>
      </c>
      <c r="AB315" s="5">
        <v>0.0</v>
      </c>
      <c r="AC315" s="5" t="s">
        <v>1510</v>
      </c>
      <c r="AE315" s="5">
        <v>4063.0</v>
      </c>
      <c r="AF315" s="36">
        <v>46103.50340619213</v>
      </c>
    </row>
    <row r="316" ht="22.5" customHeight="1">
      <c r="A316" s="5" t="s">
        <v>1912</v>
      </c>
      <c r="B316" s="5" t="s">
        <v>1506</v>
      </c>
      <c r="C316" s="5" t="s">
        <v>284</v>
      </c>
      <c r="D316" s="5" t="s">
        <v>14</v>
      </c>
      <c r="E316" s="5">
        <v>9.81320321E9</v>
      </c>
      <c r="F316" s="5" t="s">
        <v>283</v>
      </c>
      <c r="H316" s="35">
        <v>41509.0</v>
      </c>
      <c r="I316" s="5" t="s">
        <v>156</v>
      </c>
      <c r="J316" s="5" t="s">
        <v>17</v>
      </c>
      <c r="K316" s="5" t="b">
        <v>0</v>
      </c>
      <c r="L316" s="5" t="b">
        <v>0</v>
      </c>
      <c r="N316" s="5">
        <v>1500.0</v>
      </c>
      <c r="O316" s="5">
        <v>0.0</v>
      </c>
      <c r="P316" s="5">
        <v>0.0</v>
      </c>
      <c r="R316" s="5" t="b">
        <v>0</v>
      </c>
      <c r="U316" s="5" t="s">
        <v>1519</v>
      </c>
      <c r="V316" s="5" t="s">
        <v>1508</v>
      </c>
      <c r="W316" s="5" t="s">
        <v>1508</v>
      </c>
      <c r="X316" s="5" t="s">
        <v>1509</v>
      </c>
      <c r="Z316" s="5">
        <v>1500.0</v>
      </c>
      <c r="AB316" s="5">
        <v>0.0</v>
      </c>
      <c r="AC316" s="5" t="s">
        <v>1510</v>
      </c>
      <c r="AD316" s="5" t="s">
        <v>1558</v>
      </c>
      <c r="AE316" s="5">
        <v>4188.0</v>
      </c>
      <c r="AF316" s="36">
        <v>46103.50137954861</v>
      </c>
    </row>
    <row r="317" ht="22.5" customHeight="1">
      <c r="A317" s="5" t="s">
        <v>1913</v>
      </c>
      <c r="B317" s="5" t="s">
        <v>1506</v>
      </c>
      <c r="C317" s="5" t="s">
        <v>285</v>
      </c>
      <c r="D317" s="5" t="s">
        <v>14</v>
      </c>
      <c r="E317" s="5">
        <v>9.81320321E9</v>
      </c>
      <c r="F317" s="5" t="s">
        <v>283</v>
      </c>
      <c r="H317" s="35">
        <v>39852.0</v>
      </c>
      <c r="I317" s="5" t="s">
        <v>156</v>
      </c>
      <c r="J317" s="5" t="s">
        <v>17</v>
      </c>
      <c r="K317" s="5" t="b">
        <v>0</v>
      </c>
      <c r="L317" s="5" t="b">
        <v>0</v>
      </c>
      <c r="N317" s="5">
        <v>1500.0</v>
      </c>
      <c r="O317" s="5">
        <v>0.0</v>
      </c>
      <c r="P317" s="5">
        <v>0.0</v>
      </c>
      <c r="R317" s="5" t="b">
        <v>0</v>
      </c>
      <c r="U317" s="5" t="s">
        <v>1517</v>
      </c>
      <c r="V317" s="5" t="s">
        <v>1508</v>
      </c>
      <c r="W317" s="5" t="s">
        <v>1548</v>
      </c>
      <c r="X317" s="5" t="s">
        <v>1509</v>
      </c>
      <c r="Z317" s="5">
        <v>1500.0</v>
      </c>
      <c r="AB317" s="5">
        <v>0.0</v>
      </c>
      <c r="AC317" s="5" t="s">
        <v>1510</v>
      </c>
      <c r="AE317" s="5">
        <v>4062.0</v>
      </c>
      <c r="AF317" s="36">
        <v>46103.49991883102</v>
      </c>
      <c r="AG317" s="5" t="s">
        <v>1549</v>
      </c>
    </row>
    <row r="318" ht="22.5" hidden="1" customHeight="1">
      <c r="A318" s="5" t="s">
        <v>1914</v>
      </c>
      <c r="B318" s="5" t="s">
        <v>1506</v>
      </c>
      <c r="C318" s="5" t="s">
        <v>696</v>
      </c>
      <c r="D318" s="5" t="s">
        <v>14</v>
      </c>
      <c r="E318" s="25" t="s">
        <v>697</v>
      </c>
      <c r="F318" s="5" t="s">
        <v>698</v>
      </c>
      <c r="G318" s="5" t="s">
        <v>699</v>
      </c>
      <c r="H318" s="35">
        <v>36120.0</v>
      </c>
      <c r="I318" s="5" t="s">
        <v>156</v>
      </c>
      <c r="J318" s="5" t="s">
        <v>39</v>
      </c>
      <c r="K318" s="5" t="b">
        <v>0</v>
      </c>
      <c r="L318" s="5" t="b">
        <v>0</v>
      </c>
      <c r="N318" s="5">
        <v>3000.0</v>
      </c>
      <c r="O318" s="5">
        <v>0.0</v>
      </c>
      <c r="P318" s="5">
        <v>0.0</v>
      </c>
      <c r="R318" s="5" t="b">
        <v>0</v>
      </c>
      <c r="U318" s="5" t="s">
        <v>1517</v>
      </c>
      <c r="V318" s="5" t="s">
        <v>1508</v>
      </c>
      <c r="W318" s="5" t="s">
        <v>1508</v>
      </c>
      <c r="X318" s="5" t="s">
        <v>1509</v>
      </c>
      <c r="Z318" s="5">
        <v>2250.0</v>
      </c>
      <c r="AA318" s="5" t="s">
        <v>699</v>
      </c>
      <c r="AB318" s="5">
        <v>750.0</v>
      </c>
      <c r="AC318" s="5" t="s">
        <v>1510</v>
      </c>
      <c r="AD318" s="5" t="s">
        <v>1511</v>
      </c>
      <c r="AE318" s="5">
        <v>3069.0</v>
      </c>
      <c r="AF318" s="36">
        <v>46102.71257783565</v>
      </c>
    </row>
    <row r="319" ht="22.5" hidden="1" customHeight="1">
      <c r="A319" s="5" t="s">
        <v>1915</v>
      </c>
      <c r="B319" s="5" t="s">
        <v>1506</v>
      </c>
      <c r="C319" s="5" t="s">
        <v>700</v>
      </c>
      <c r="D319" s="5" t="s">
        <v>14</v>
      </c>
      <c r="E319" s="5">
        <v>9.745966035E9</v>
      </c>
      <c r="F319" s="5" t="s">
        <v>702</v>
      </c>
      <c r="H319" s="35">
        <v>35799.0</v>
      </c>
      <c r="I319" s="5" t="s">
        <v>156</v>
      </c>
      <c r="J319" s="5" t="s">
        <v>39</v>
      </c>
      <c r="K319" s="5" t="b">
        <v>0</v>
      </c>
      <c r="L319" s="5" t="b">
        <v>0</v>
      </c>
      <c r="N319" s="5">
        <v>3000.0</v>
      </c>
      <c r="O319" s="5">
        <v>0.0</v>
      </c>
      <c r="P319" s="5">
        <v>0.0</v>
      </c>
      <c r="R319" s="5" t="b">
        <v>0</v>
      </c>
      <c r="U319" s="5" t="s">
        <v>1514</v>
      </c>
      <c r="V319" s="5" t="s">
        <v>1508</v>
      </c>
      <c r="W319" s="5" t="s">
        <v>1508</v>
      </c>
      <c r="X319" s="5" t="s">
        <v>1509</v>
      </c>
      <c r="Z319" s="5">
        <v>2250.0</v>
      </c>
      <c r="AA319" s="5" t="s">
        <v>699</v>
      </c>
      <c r="AB319" s="5">
        <v>750.0</v>
      </c>
      <c r="AC319" s="5" t="s">
        <v>1510</v>
      </c>
      <c r="AD319" s="5" t="s">
        <v>1511</v>
      </c>
      <c r="AE319" s="5">
        <v>3070.0</v>
      </c>
      <c r="AF319" s="36">
        <v>46102.67996371528</v>
      </c>
    </row>
    <row r="320" ht="22.5" hidden="1" customHeight="1">
      <c r="A320" s="5" t="s">
        <v>1916</v>
      </c>
      <c r="B320" s="5" t="s">
        <v>1506</v>
      </c>
      <c r="C320" s="5" t="s">
        <v>1012</v>
      </c>
      <c r="D320" s="5" t="s">
        <v>14</v>
      </c>
      <c r="E320" s="25" t="s">
        <v>1013</v>
      </c>
      <c r="F320" s="5" t="s">
        <v>1014</v>
      </c>
      <c r="H320" s="35">
        <v>40275.0</v>
      </c>
      <c r="I320" s="5" t="s">
        <v>156</v>
      </c>
      <c r="J320" s="5" t="s">
        <v>42</v>
      </c>
      <c r="K320" s="5" t="b">
        <v>0</v>
      </c>
      <c r="L320" s="5" t="b">
        <v>0</v>
      </c>
      <c r="N320" s="5">
        <v>7500.0</v>
      </c>
      <c r="O320" s="5">
        <v>0.0</v>
      </c>
      <c r="P320" s="5">
        <v>0.0</v>
      </c>
      <c r="R320" s="5" t="b">
        <v>0</v>
      </c>
      <c r="U320" s="5" t="s">
        <v>1519</v>
      </c>
      <c r="V320" s="5" t="s">
        <v>1508</v>
      </c>
      <c r="W320" s="5" t="s">
        <v>1508</v>
      </c>
      <c r="X320" s="5" t="s">
        <v>1509</v>
      </c>
      <c r="Z320" s="5">
        <v>5625.0</v>
      </c>
      <c r="AA320" s="5" t="s">
        <v>1556</v>
      </c>
      <c r="AB320" s="5">
        <v>1875.0</v>
      </c>
      <c r="AC320" s="5" t="s">
        <v>1510</v>
      </c>
      <c r="AD320" s="5" t="s">
        <v>1511</v>
      </c>
      <c r="AE320" s="5">
        <v>2078.0</v>
      </c>
      <c r="AF320" s="36">
        <v>46102.65551210648</v>
      </c>
    </row>
    <row r="321" ht="22.5" hidden="1" customHeight="1">
      <c r="A321" s="5" t="s">
        <v>1917</v>
      </c>
      <c r="B321" s="5" t="s">
        <v>1506</v>
      </c>
      <c r="C321" s="5" t="s">
        <v>703</v>
      </c>
      <c r="D321" s="5" t="s">
        <v>14</v>
      </c>
      <c r="E321" s="25" t="s">
        <v>704</v>
      </c>
      <c r="F321" s="5" t="s">
        <v>705</v>
      </c>
      <c r="H321" s="35">
        <v>40371.0</v>
      </c>
      <c r="I321" s="5" t="s">
        <v>156</v>
      </c>
      <c r="J321" s="5" t="s">
        <v>39</v>
      </c>
      <c r="K321" s="5" t="b">
        <v>0</v>
      </c>
      <c r="L321" s="5" t="b">
        <v>0</v>
      </c>
      <c r="N321" s="5">
        <v>3000.0</v>
      </c>
      <c r="O321" s="5">
        <v>0.0</v>
      </c>
      <c r="P321" s="5">
        <v>0.0</v>
      </c>
      <c r="R321" s="5" t="b">
        <v>0</v>
      </c>
      <c r="U321" s="5" t="s">
        <v>1517</v>
      </c>
      <c r="V321" s="5" t="s">
        <v>1508</v>
      </c>
      <c r="W321" s="5" t="s">
        <v>1508</v>
      </c>
      <c r="X321" s="5" t="s">
        <v>1509</v>
      </c>
      <c r="Z321" s="5">
        <v>2250.0</v>
      </c>
      <c r="AA321" s="5" t="s">
        <v>1556</v>
      </c>
      <c r="AB321" s="5">
        <v>750.0</v>
      </c>
      <c r="AC321" s="5" t="s">
        <v>1510</v>
      </c>
      <c r="AE321" s="5">
        <v>3067.0</v>
      </c>
      <c r="AF321" s="36">
        <v>46102.653914965274</v>
      </c>
    </row>
    <row r="322" ht="22.5" hidden="1" customHeight="1">
      <c r="A322" s="5" t="s">
        <v>1918</v>
      </c>
      <c r="B322" s="5" t="s">
        <v>1506</v>
      </c>
      <c r="C322" s="5" t="s">
        <v>706</v>
      </c>
      <c r="D322" s="5" t="s">
        <v>14</v>
      </c>
      <c r="E322" s="25" t="s">
        <v>707</v>
      </c>
      <c r="F322" s="5" t="s">
        <v>708</v>
      </c>
      <c r="H322" s="35">
        <v>32298.0</v>
      </c>
      <c r="I322" s="5" t="s">
        <v>156</v>
      </c>
      <c r="J322" s="5" t="s">
        <v>39</v>
      </c>
      <c r="K322" s="5" t="b">
        <v>0</v>
      </c>
      <c r="L322" s="5" t="b">
        <v>0</v>
      </c>
      <c r="N322" s="5">
        <v>3000.0</v>
      </c>
      <c r="O322" s="5">
        <v>0.0</v>
      </c>
      <c r="P322" s="5">
        <v>0.0</v>
      </c>
      <c r="R322" s="5" t="b">
        <v>0</v>
      </c>
      <c r="U322" s="5" t="s">
        <v>1514</v>
      </c>
      <c r="V322" s="5" t="s">
        <v>1508</v>
      </c>
      <c r="W322" s="5" t="s">
        <v>1508</v>
      </c>
      <c r="X322" s="5" t="s">
        <v>1509</v>
      </c>
      <c r="Z322" s="5">
        <v>3000.0</v>
      </c>
      <c r="AB322" s="5">
        <v>0.0</v>
      </c>
      <c r="AC322" s="5" t="s">
        <v>1510</v>
      </c>
      <c r="AE322" s="5">
        <v>3066.0</v>
      </c>
      <c r="AF322" s="36">
        <v>46102.60696276621</v>
      </c>
    </row>
    <row r="323" ht="22.5" hidden="1" customHeight="1">
      <c r="A323" s="5" t="s">
        <v>1919</v>
      </c>
      <c r="B323" s="5" t="s">
        <v>1506</v>
      </c>
      <c r="C323" s="5" t="s">
        <v>709</v>
      </c>
      <c r="D323" s="5" t="s">
        <v>14</v>
      </c>
      <c r="E323" s="25" t="s">
        <v>710</v>
      </c>
      <c r="F323" s="5" t="s">
        <v>711</v>
      </c>
      <c r="H323" s="35">
        <v>35558.0</v>
      </c>
      <c r="I323" s="5" t="s">
        <v>156</v>
      </c>
      <c r="J323" s="5" t="s">
        <v>39</v>
      </c>
      <c r="K323" s="5" t="b">
        <v>0</v>
      </c>
      <c r="L323" s="5" t="b">
        <v>0</v>
      </c>
      <c r="N323" s="5">
        <v>3000.0</v>
      </c>
      <c r="O323" s="5">
        <v>0.0</v>
      </c>
      <c r="P323" s="5">
        <v>0.0</v>
      </c>
      <c r="R323" s="5" t="b">
        <v>0</v>
      </c>
      <c r="U323" s="5" t="s">
        <v>1517</v>
      </c>
      <c r="V323" s="5" t="s">
        <v>1508</v>
      </c>
      <c r="W323" s="5" t="s">
        <v>1508</v>
      </c>
      <c r="X323" s="5" t="s">
        <v>1509</v>
      </c>
      <c r="Z323" s="5">
        <v>3000.0</v>
      </c>
      <c r="AB323" s="5">
        <v>0.0</v>
      </c>
      <c r="AC323" s="5" t="s">
        <v>1510</v>
      </c>
      <c r="AE323" s="5">
        <v>3065.0</v>
      </c>
      <c r="AF323" s="36">
        <v>46102.492050057874</v>
      </c>
    </row>
    <row r="324" ht="22.5" hidden="1" customHeight="1">
      <c r="A324" s="5" t="s">
        <v>1920</v>
      </c>
      <c r="B324" s="5" t="s">
        <v>1506</v>
      </c>
      <c r="C324" s="5" t="s">
        <v>1015</v>
      </c>
      <c r="D324" s="5" t="s">
        <v>14</v>
      </c>
      <c r="E324" s="25" t="s">
        <v>1013</v>
      </c>
      <c r="F324" s="5" t="s">
        <v>1014</v>
      </c>
      <c r="H324" s="35">
        <v>40275.0</v>
      </c>
      <c r="I324" s="5" t="s">
        <v>156</v>
      </c>
      <c r="J324" s="5" t="s">
        <v>42</v>
      </c>
      <c r="K324" s="5" t="b">
        <v>0</v>
      </c>
      <c r="L324" s="5" t="b">
        <v>0</v>
      </c>
      <c r="N324" s="5">
        <v>7500.0</v>
      </c>
      <c r="O324" s="5">
        <v>0.0</v>
      </c>
      <c r="P324" s="5">
        <v>0.0</v>
      </c>
      <c r="R324" s="5" t="b">
        <v>0</v>
      </c>
      <c r="U324" s="5" t="s">
        <v>1519</v>
      </c>
      <c r="V324" s="5" t="s">
        <v>1508</v>
      </c>
      <c r="W324" s="5" t="s">
        <v>1508</v>
      </c>
      <c r="X324" s="5" t="s">
        <v>1509</v>
      </c>
      <c r="Z324" s="5">
        <v>5625.0</v>
      </c>
      <c r="AA324" s="5" t="s">
        <v>1556</v>
      </c>
      <c r="AB324" s="5">
        <v>1875.0</v>
      </c>
      <c r="AC324" s="5" t="s">
        <v>1510</v>
      </c>
      <c r="AE324" s="5">
        <v>2077.0</v>
      </c>
      <c r="AF324" s="36">
        <v>46102.32482876157</v>
      </c>
    </row>
    <row r="325" ht="22.5" hidden="1" customHeight="1">
      <c r="A325" s="5" t="s">
        <v>1921</v>
      </c>
      <c r="B325" s="5" t="s">
        <v>1506</v>
      </c>
      <c r="C325" s="5" t="s">
        <v>712</v>
      </c>
      <c r="D325" s="5" t="s">
        <v>14</v>
      </c>
      <c r="E325" s="5">
        <v>9.851199202E9</v>
      </c>
      <c r="F325" s="5" t="s">
        <v>713</v>
      </c>
      <c r="H325" s="35">
        <v>30978.0</v>
      </c>
      <c r="I325" s="5" t="s">
        <v>156</v>
      </c>
      <c r="J325" s="5" t="s">
        <v>39</v>
      </c>
      <c r="K325" s="5" t="b">
        <v>0</v>
      </c>
      <c r="L325" s="5" t="b">
        <v>0</v>
      </c>
      <c r="N325" s="5">
        <v>3000.0</v>
      </c>
      <c r="O325" s="5">
        <v>0.0</v>
      </c>
      <c r="P325" s="5">
        <v>0.0</v>
      </c>
      <c r="R325" s="5" t="b">
        <v>0</v>
      </c>
      <c r="U325" s="5" t="s">
        <v>1519</v>
      </c>
      <c r="V325" s="5" t="s">
        <v>1508</v>
      </c>
      <c r="W325" s="5" t="s">
        <v>1508</v>
      </c>
      <c r="X325" s="5" t="s">
        <v>1509</v>
      </c>
      <c r="Z325" s="5">
        <v>3000.0</v>
      </c>
      <c r="AB325" s="5">
        <v>0.0</v>
      </c>
      <c r="AC325" s="5" t="s">
        <v>1510</v>
      </c>
      <c r="AE325" s="5">
        <v>3064.0</v>
      </c>
      <c r="AF325" s="36">
        <v>46102.31354394676</v>
      </c>
    </row>
    <row r="326" ht="22.5" hidden="1" customHeight="1">
      <c r="A326" s="5" t="s">
        <v>1922</v>
      </c>
      <c r="B326" s="5" t="s">
        <v>1506</v>
      </c>
      <c r="C326" s="5" t="s">
        <v>1150</v>
      </c>
      <c r="D326" s="5" t="s">
        <v>1151</v>
      </c>
      <c r="E326" s="25" t="s">
        <v>1152</v>
      </c>
      <c r="F326" s="5" t="s">
        <v>1153</v>
      </c>
      <c r="H326" s="35">
        <v>30190.0</v>
      </c>
      <c r="I326" s="5" t="s">
        <v>156</v>
      </c>
      <c r="J326" s="5" t="s">
        <v>42</v>
      </c>
      <c r="K326" s="5" t="b">
        <v>0</v>
      </c>
      <c r="L326" s="5" t="b">
        <v>0</v>
      </c>
      <c r="N326" s="5">
        <v>7500.0</v>
      </c>
      <c r="O326" s="5">
        <v>0.0</v>
      </c>
      <c r="P326" s="5">
        <v>0.0</v>
      </c>
      <c r="R326" s="5" t="b">
        <v>0</v>
      </c>
      <c r="U326" s="5" t="s">
        <v>1517</v>
      </c>
      <c r="V326" s="5" t="s">
        <v>1508</v>
      </c>
      <c r="W326" s="5" t="s">
        <v>1508</v>
      </c>
      <c r="X326" s="5" t="s">
        <v>1509</v>
      </c>
      <c r="Z326" s="5">
        <v>6000.0</v>
      </c>
      <c r="AA326" s="5" t="s">
        <v>1591</v>
      </c>
      <c r="AB326" s="5">
        <v>1500.0</v>
      </c>
      <c r="AC326" s="5" t="s">
        <v>1510</v>
      </c>
      <c r="AE326" s="5">
        <v>2076.0</v>
      </c>
      <c r="AF326" s="36">
        <v>46102.23881894676</v>
      </c>
    </row>
    <row r="327" ht="22.5" hidden="1" customHeight="1">
      <c r="A327" s="5" t="s">
        <v>1923</v>
      </c>
      <c r="B327" s="5" t="s">
        <v>1506</v>
      </c>
      <c r="C327" s="5" t="s">
        <v>1201</v>
      </c>
      <c r="D327" s="5" t="s">
        <v>1202</v>
      </c>
      <c r="E327" s="25" t="s">
        <v>1203</v>
      </c>
      <c r="F327" s="5" t="s">
        <v>1204</v>
      </c>
      <c r="G327" s="5">
        <v>2205361.0</v>
      </c>
      <c r="H327" s="35">
        <v>29083.0</v>
      </c>
      <c r="I327" s="5" t="s">
        <v>16</v>
      </c>
      <c r="J327" s="5" t="s">
        <v>36</v>
      </c>
      <c r="K327" s="5" t="b">
        <v>0</v>
      </c>
      <c r="L327" s="5" t="b">
        <v>0</v>
      </c>
      <c r="N327" s="5">
        <v>150.0</v>
      </c>
      <c r="O327" s="5">
        <v>0.0</v>
      </c>
      <c r="P327" s="5">
        <v>0.0</v>
      </c>
      <c r="R327" s="5" t="b">
        <v>0</v>
      </c>
      <c r="U327" s="5" t="s">
        <v>1580</v>
      </c>
      <c r="V327" s="5" t="s">
        <v>1508</v>
      </c>
      <c r="W327" s="5" t="s">
        <v>1548</v>
      </c>
      <c r="X327" s="5" t="s">
        <v>1509</v>
      </c>
      <c r="Z327" s="5">
        <v>150.0</v>
      </c>
      <c r="AB327" s="5">
        <v>0.0</v>
      </c>
      <c r="AC327" s="5" t="s">
        <v>1546</v>
      </c>
      <c r="AD327" s="5" t="s">
        <v>1511</v>
      </c>
      <c r="AE327" s="5">
        <v>1056.0</v>
      </c>
      <c r="AF327" s="36">
        <v>46102.19739725695</v>
      </c>
      <c r="AG327" s="5" t="s">
        <v>1549</v>
      </c>
    </row>
    <row r="328" ht="22.5" customHeight="1">
      <c r="A328" s="5" t="s">
        <v>1924</v>
      </c>
      <c r="B328" s="5" t="s">
        <v>1506</v>
      </c>
      <c r="C328" s="5" t="s">
        <v>286</v>
      </c>
      <c r="D328" s="5" t="s">
        <v>14</v>
      </c>
      <c r="E328" s="5">
        <v>9.851050299E9</v>
      </c>
      <c r="F328" s="5" t="s">
        <v>287</v>
      </c>
      <c r="H328" s="35">
        <v>30702.0</v>
      </c>
      <c r="I328" s="5" t="s">
        <v>156</v>
      </c>
      <c r="J328" s="5" t="s">
        <v>17</v>
      </c>
      <c r="K328" s="5" t="b">
        <v>0</v>
      </c>
      <c r="L328" s="5" t="b">
        <v>0</v>
      </c>
      <c r="N328" s="5">
        <v>1500.0</v>
      </c>
      <c r="O328" s="5">
        <v>0.0</v>
      </c>
      <c r="P328" s="5">
        <v>0.0</v>
      </c>
      <c r="R328" s="5" t="b">
        <v>0</v>
      </c>
      <c r="U328" s="5" t="s">
        <v>1578</v>
      </c>
      <c r="V328" s="5" t="s">
        <v>1508</v>
      </c>
      <c r="W328" s="5" t="s">
        <v>1508</v>
      </c>
      <c r="X328" s="5" t="s">
        <v>1509</v>
      </c>
      <c r="Z328" s="5">
        <v>1200.0</v>
      </c>
      <c r="AA328" s="5" t="s">
        <v>1591</v>
      </c>
      <c r="AB328" s="5">
        <v>300.0</v>
      </c>
      <c r="AC328" s="5" t="s">
        <v>1510</v>
      </c>
      <c r="AE328" s="5">
        <v>4047.0</v>
      </c>
      <c r="AF328" s="36">
        <v>46101.55836012732</v>
      </c>
    </row>
    <row r="329" ht="22.5" hidden="1" customHeight="1">
      <c r="A329" s="5" t="s">
        <v>1925</v>
      </c>
      <c r="B329" s="5" t="s">
        <v>1506</v>
      </c>
      <c r="C329" s="5" t="s">
        <v>1407</v>
      </c>
      <c r="D329" s="5" t="s">
        <v>14</v>
      </c>
      <c r="E329" s="25" t="s">
        <v>1408</v>
      </c>
      <c r="F329" s="5" t="s">
        <v>1409</v>
      </c>
      <c r="G329" s="5">
        <v>5888589.0</v>
      </c>
      <c r="H329" s="35">
        <v>30569.0</v>
      </c>
      <c r="I329" s="5" t="s">
        <v>156</v>
      </c>
      <c r="J329" s="5" t="s">
        <v>46</v>
      </c>
      <c r="K329" s="5" t="b">
        <v>0</v>
      </c>
      <c r="L329" s="5" t="b">
        <v>0</v>
      </c>
      <c r="N329" s="5">
        <v>9000.0</v>
      </c>
      <c r="O329" s="5">
        <v>0.0</v>
      </c>
      <c r="P329" s="5">
        <v>0.0</v>
      </c>
      <c r="R329" s="5" t="b">
        <v>0</v>
      </c>
      <c r="U329" s="5" t="s">
        <v>1507</v>
      </c>
      <c r="V329" s="5" t="s">
        <v>1508</v>
      </c>
      <c r="W329" s="5" t="s">
        <v>1508</v>
      </c>
      <c r="X329" s="5" t="s">
        <v>1509</v>
      </c>
      <c r="Z329" s="5">
        <v>9000.0</v>
      </c>
      <c r="AB329" s="5">
        <v>0.0</v>
      </c>
      <c r="AC329" s="5" t="s">
        <v>1510</v>
      </c>
      <c r="AD329" s="5" t="s">
        <v>1511</v>
      </c>
      <c r="AE329" s="5">
        <v>1524.0</v>
      </c>
      <c r="AF329" s="36">
        <v>46101.54963262731</v>
      </c>
    </row>
    <row r="330" ht="22.5" hidden="1" customHeight="1">
      <c r="A330" s="5" t="s">
        <v>1926</v>
      </c>
      <c r="B330" s="5" t="s">
        <v>1506</v>
      </c>
      <c r="C330" s="5" t="s">
        <v>1016</v>
      </c>
      <c r="D330" s="5" t="s">
        <v>14</v>
      </c>
      <c r="E330" s="5">
        <v>9.823695196E9</v>
      </c>
      <c r="F330" s="5" t="s">
        <v>1017</v>
      </c>
      <c r="H330" s="35">
        <v>24280.0</v>
      </c>
      <c r="I330" s="5" t="s">
        <v>156</v>
      </c>
      <c r="J330" s="5" t="s">
        <v>42</v>
      </c>
      <c r="K330" s="5" t="b">
        <v>0</v>
      </c>
      <c r="L330" s="5" t="b">
        <v>0</v>
      </c>
      <c r="N330" s="5">
        <v>7500.0</v>
      </c>
      <c r="O330" s="5">
        <v>0.0</v>
      </c>
      <c r="P330" s="5">
        <v>0.0</v>
      </c>
      <c r="R330" s="5" t="b">
        <v>0</v>
      </c>
      <c r="U330" s="5" t="s">
        <v>1519</v>
      </c>
      <c r="V330" s="5" t="s">
        <v>1508</v>
      </c>
      <c r="W330" s="5" t="s">
        <v>1508</v>
      </c>
      <c r="X330" s="5" t="s">
        <v>1509</v>
      </c>
      <c r="Z330" s="5">
        <v>7500.0</v>
      </c>
      <c r="AB330" s="5">
        <v>0.0</v>
      </c>
      <c r="AC330" s="5" t="s">
        <v>1510</v>
      </c>
      <c r="AE330" s="5">
        <v>2052.0</v>
      </c>
      <c r="AF330" s="36">
        <v>46101.498392326386</v>
      </c>
    </row>
    <row r="331" ht="22.5" customHeight="1">
      <c r="A331" s="5" t="s">
        <v>1927</v>
      </c>
      <c r="B331" s="5" t="s">
        <v>1506</v>
      </c>
      <c r="C331" s="5" t="s">
        <v>288</v>
      </c>
      <c r="D331" s="5" t="s">
        <v>14</v>
      </c>
      <c r="E331" s="5">
        <v>9.841188686E9</v>
      </c>
      <c r="F331" s="5" t="s">
        <v>289</v>
      </c>
      <c r="H331" s="35">
        <v>34947.0</v>
      </c>
      <c r="I331" s="5" t="s">
        <v>156</v>
      </c>
      <c r="J331" s="5" t="s">
        <v>17</v>
      </c>
      <c r="K331" s="5" t="b">
        <v>0</v>
      </c>
      <c r="L331" s="5" t="b">
        <v>0</v>
      </c>
      <c r="N331" s="5">
        <v>1500.0</v>
      </c>
      <c r="O331" s="5">
        <v>0.0</v>
      </c>
      <c r="P331" s="5">
        <v>0.0</v>
      </c>
      <c r="R331" s="5" t="b">
        <v>0</v>
      </c>
      <c r="U331" s="5" t="s">
        <v>1514</v>
      </c>
      <c r="V331" s="5" t="s">
        <v>1508</v>
      </c>
      <c r="W331" s="5" t="s">
        <v>1508</v>
      </c>
      <c r="X331" s="5" t="s">
        <v>1509</v>
      </c>
      <c r="Z331" s="5">
        <v>1500.0</v>
      </c>
      <c r="AB331" s="5">
        <v>0.0</v>
      </c>
      <c r="AC331" s="5" t="s">
        <v>1510</v>
      </c>
      <c r="AE331" s="5">
        <v>4046.0</v>
      </c>
      <c r="AF331" s="36">
        <v>46101.46121061342</v>
      </c>
    </row>
    <row r="332" ht="22.5" hidden="1" customHeight="1">
      <c r="A332" s="5" t="s">
        <v>1928</v>
      </c>
      <c r="B332" s="5" t="s">
        <v>1506</v>
      </c>
      <c r="C332" s="5" t="s">
        <v>1018</v>
      </c>
      <c r="D332" s="5" t="s">
        <v>14</v>
      </c>
      <c r="E332" s="25" t="s">
        <v>1019</v>
      </c>
      <c r="F332" s="5" t="s">
        <v>1020</v>
      </c>
      <c r="H332" s="35">
        <v>39904.0</v>
      </c>
      <c r="I332" s="5" t="s">
        <v>156</v>
      </c>
      <c r="J332" s="5" t="s">
        <v>42</v>
      </c>
      <c r="K332" s="5" t="b">
        <v>0</v>
      </c>
      <c r="L332" s="5" t="b">
        <v>0</v>
      </c>
      <c r="N332" s="5">
        <v>7500.0</v>
      </c>
      <c r="O332" s="5">
        <v>0.0</v>
      </c>
      <c r="P332" s="5">
        <v>0.0</v>
      </c>
      <c r="R332" s="5" t="b">
        <v>0</v>
      </c>
      <c r="U332" s="5" t="s">
        <v>1519</v>
      </c>
      <c r="V332" s="5" t="s">
        <v>1508</v>
      </c>
      <c r="W332" s="5" t="s">
        <v>1508</v>
      </c>
      <c r="X332" s="5" t="s">
        <v>1509</v>
      </c>
      <c r="Z332" s="5">
        <v>5625.0</v>
      </c>
      <c r="AA332" s="5" t="s">
        <v>1556</v>
      </c>
      <c r="AB332" s="5">
        <v>1875.0</v>
      </c>
      <c r="AC332" s="5" t="s">
        <v>1510</v>
      </c>
      <c r="AE332" s="5">
        <v>2051.0</v>
      </c>
      <c r="AF332" s="36">
        <v>46101.45295449074</v>
      </c>
    </row>
    <row r="333" ht="22.5" customHeight="1">
      <c r="A333" s="5" t="s">
        <v>1929</v>
      </c>
      <c r="B333" s="5" t="s">
        <v>1506</v>
      </c>
      <c r="C333" s="5" t="s">
        <v>98</v>
      </c>
      <c r="D333" s="5" t="s">
        <v>14</v>
      </c>
      <c r="E333" s="5">
        <v>9.81429655E8</v>
      </c>
      <c r="F333" s="5" t="s">
        <v>99</v>
      </c>
      <c r="H333" s="35">
        <v>37808.0</v>
      </c>
      <c r="I333" s="5" t="s">
        <v>16</v>
      </c>
      <c r="J333" s="5" t="s">
        <v>17</v>
      </c>
      <c r="K333" s="5" t="b">
        <v>0</v>
      </c>
      <c r="L333" s="5" t="b">
        <v>0</v>
      </c>
      <c r="N333" s="5">
        <v>1500.0</v>
      </c>
      <c r="O333" s="5">
        <v>0.0</v>
      </c>
      <c r="P333" s="5">
        <v>0.0</v>
      </c>
      <c r="R333" s="5" t="b">
        <v>0</v>
      </c>
      <c r="U333" s="5" t="s">
        <v>1519</v>
      </c>
      <c r="V333" s="5" t="s">
        <v>1508</v>
      </c>
      <c r="W333" s="5" t="s">
        <v>1508</v>
      </c>
      <c r="X333" s="5" t="s">
        <v>1509</v>
      </c>
      <c r="Z333" s="5">
        <v>1200.0</v>
      </c>
      <c r="AA333" s="5" t="s">
        <v>1591</v>
      </c>
      <c r="AB333" s="5">
        <v>300.0</v>
      </c>
      <c r="AC333" s="5" t="s">
        <v>1510</v>
      </c>
      <c r="AE333" s="5">
        <v>4045.0</v>
      </c>
      <c r="AF333" s="36">
        <v>46101.43721092593</v>
      </c>
    </row>
    <row r="334" ht="22.5" customHeight="1">
      <c r="A334" s="5" t="s">
        <v>1930</v>
      </c>
      <c r="B334" s="5" t="s">
        <v>1506</v>
      </c>
      <c r="C334" s="5" t="s">
        <v>290</v>
      </c>
      <c r="D334" s="5" t="s">
        <v>14</v>
      </c>
      <c r="E334" s="5">
        <v>9.81484881E9</v>
      </c>
      <c r="F334" s="5" t="s">
        <v>291</v>
      </c>
      <c r="H334" s="35">
        <v>35798.0</v>
      </c>
      <c r="I334" s="5" t="s">
        <v>156</v>
      </c>
      <c r="J334" s="5" t="s">
        <v>17</v>
      </c>
      <c r="K334" s="5" t="b">
        <v>0</v>
      </c>
      <c r="L334" s="5" t="b">
        <v>0</v>
      </c>
      <c r="N334" s="5">
        <v>1500.0</v>
      </c>
      <c r="O334" s="5">
        <v>0.0</v>
      </c>
      <c r="P334" s="5">
        <v>0.0</v>
      </c>
      <c r="R334" s="5" t="b">
        <v>0</v>
      </c>
      <c r="U334" s="5" t="s">
        <v>1519</v>
      </c>
      <c r="V334" s="5" t="s">
        <v>1508</v>
      </c>
      <c r="W334" s="5" t="s">
        <v>1508</v>
      </c>
      <c r="X334" s="5" t="s">
        <v>1509</v>
      </c>
      <c r="Z334" s="5">
        <v>1200.0</v>
      </c>
      <c r="AA334" s="5" t="s">
        <v>1591</v>
      </c>
      <c r="AB334" s="5">
        <v>300.0</v>
      </c>
      <c r="AC334" s="5" t="s">
        <v>1510</v>
      </c>
      <c r="AE334" s="5">
        <v>4044.0</v>
      </c>
      <c r="AF334" s="36">
        <v>46101.434582835645</v>
      </c>
    </row>
    <row r="335" ht="22.5" customHeight="1">
      <c r="A335" s="5" t="s">
        <v>1931</v>
      </c>
      <c r="B335" s="5" t="s">
        <v>1506</v>
      </c>
      <c r="C335" s="5" t="s">
        <v>292</v>
      </c>
      <c r="D335" s="5" t="s">
        <v>14</v>
      </c>
      <c r="E335" s="25" t="s">
        <v>293</v>
      </c>
      <c r="F335" s="5" t="s">
        <v>294</v>
      </c>
      <c r="H335" s="35">
        <v>38553.0</v>
      </c>
      <c r="I335" s="5" t="s">
        <v>156</v>
      </c>
      <c r="J335" s="5" t="s">
        <v>17</v>
      </c>
      <c r="K335" s="5" t="b">
        <v>0</v>
      </c>
      <c r="L335" s="5" t="b">
        <v>0</v>
      </c>
      <c r="N335" s="5">
        <v>1500.0</v>
      </c>
      <c r="O335" s="5">
        <v>0.0</v>
      </c>
      <c r="P335" s="5">
        <v>0.0</v>
      </c>
      <c r="R335" s="5" t="b">
        <v>0</v>
      </c>
      <c r="U335" s="5" t="s">
        <v>1507</v>
      </c>
      <c r="V335" s="5" t="s">
        <v>1508</v>
      </c>
      <c r="W335" s="5" t="s">
        <v>1548</v>
      </c>
      <c r="X335" s="5" t="s">
        <v>1509</v>
      </c>
      <c r="Z335" s="5">
        <v>1500.0</v>
      </c>
      <c r="AB335" s="5">
        <v>0.0</v>
      </c>
      <c r="AC335" s="5" t="s">
        <v>1510</v>
      </c>
      <c r="AE335" s="5">
        <v>4043.0</v>
      </c>
      <c r="AF335" s="36">
        <v>46101.36039184028</v>
      </c>
      <c r="AG335" s="5" t="s">
        <v>1549</v>
      </c>
    </row>
    <row r="336" ht="22.5" hidden="1" customHeight="1">
      <c r="A336" s="5" t="s">
        <v>1932</v>
      </c>
      <c r="B336" s="5" t="s">
        <v>1506</v>
      </c>
      <c r="C336" s="5" t="s">
        <v>1021</v>
      </c>
      <c r="D336" s="5" t="s">
        <v>14</v>
      </c>
      <c r="E336" s="25" t="s">
        <v>1022</v>
      </c>
      <c r="F336" s="5" t="s">
        <v>1023</v>
      </c>
      <c r="H336" s="35">
        <v>30089.0</v>
      </c>
      <c r="I336" s="5" t="s">
        <v>156</v>
      </c>
      <c r="J336" s="5" t="s">
        <v>42</v>
      </c>
      <c r="K336" s="5" t="b">
        <v>0</v>
      </c>
      <c r="L336" s="5" t="b">
        <v>0</v>
      </c>
      <c r="N336" s="5">
        <v>7500.0</v>
      </c>
      <c r="O336" s="5">
        <v>0.0</v>
      </c>
      <c r="P336" s="5">
        <v>0.0</v>
      </c>
      <c r="R336" s="5" t="b">
        <v>0</v>
      </c>
      <c r="U336" s="5" t="s">
        <v>1517</v>
      </c>
      <c r="V336" s="5" t="s">
        <v>1508</v>
      </c>
      <c r="W336" s="5" t="s">
        <v>1508</v>
      </c>
      <c r="X336" s="5" t="s">
        <v>1509</v>
      </c>
      <c r="Z336" s="5">
        <v>7500.0</v>
      </c>
      <c r="AB336" s="5">
        <v>0.0</v>
      </c>
      <c r="AC336" s="5" t="s">
        <v>1510</v>
      </c>
      <c r="AD336" s="5" t="s">
        <v>1511</v>
      </c>
      <c r="AE336" s="5">
        <v>2079.0</v>
      </c>
      <c r="AF336" s="36">
        <v>46101.358676331016</v>
      </c>
    </row>
    <row r="337" ht="22.5" hidden="1" customHeight="1">
      <c r="A337" s="5" t="s">
        <v>1933</v>
      </c>
      <c r="B337" s="5" t="s">
        <v>1506</v>
      </c>
      <c r="C337" s="5" t="s">
        <v>1934</v>
      </c>
      <c r="D337" s="5" t="s">
        <v>14</v>
      </c>
      <c r="E337" s="5">
        <v>9.86913322E9</v>
      </c>
      <c r="F337" s="5" t="s">
        <v>1025</v>
      </c>
      <c r="H337" s="35">
        <v>38457.0</v>
      </c>
      <c r="I337" s="5" t="s">
        <v>156</v>
      </c>
      <c r="J337" s="5" t="s">
        <v>42</v>
      </c>
      <c r="K337" s="5" t="b">
        <v>0</v>
      </c>
      <c r="L337" s="5" t="b">
        <v>0</v>
      </c>
      <c r="N337" s="5">
        <v>7500.0</v>
      </c>
      <c r="O337" s="5">
        <v>0.0</v>
      </c>
      <c r="P337" s="5">
        <v>0.0</v>
      </c>
      <c r="R337" s="5" t="b">
        <v>0</v>
      </c>
      <c r="U337" s="5" t="s">
        <v>1519</v>
      </c>
      <c r="V337" s="5" t="s">
        <v>1508</v>
      </c>
      <c r="W337" s="5" t="s">
        <v>1508</v>
      </c>
      <c r="X337" s="5" t="s">
        <v>1509</v>
      </c>
      <c r="Z337" s="5">
        <v>0.0</v>
      </c>
      <c r="AA337" s="5" t="s">
        <v>779</v>
      </c>
      <c r="AB337" s="5">
        <v>7500.0</v>
      </c>
      <c r="AC337" s="5" t="s">
        <v>1510</v>
      </c>
      <c r="AD337" s="5" t="s">
        <v>1511</v>
      </c>
      <c r="AE337" s="5">
        <v>2049.0</v>
      </c>
      <c r="AF337" s="36">
        <v>46101.34786149306</v>
      </c>
    </row>
    <row r="338" ht="22.5" hidden="1" customHeight="1">
      <c r="A338" s="5" t="s">
        <v>1935</v>
      </c>
      <c r="B338" s="5" t="s">
        <v>1506</v>
      </c>
      <c r="C338" s="5" t="s">
        <v>714</v>
      </c>
      <c r="D338" s="5" t="s">
        <v>14</v>
      </c>
      <c r="E338" s="25" t="s">
        <v>715</v>
      </c>
      <c r="F338" s="5" t="s">
        <v>716</v>
      </c>
      <c r="H338" s="35">
        <v>31501.0</v>
      </c>
      <c r="I338" s="5" t="s">
        <v>156</v>
      </c>
      <c r="J338" s="5" t="s">
        <v>39</v>
      </c>
      <c r="K338" s="5" t="b">
        <v>0</v>
      </c>
      <c r="L338" s="5" t="b">
        <v>0</v>
      </c>
      <c r="N338" s="5">
        <v>3000.0</v>
      </c>
      <c r="O338" s="5">
        <v>0.0</v>
      </c>
      <c r="P338" s="5">
        <v>0.0</v>
      </c>
      <c r="R338" s="5" t="b">
        <v>0</v>
      </c>
      <c r="U338" s="5" t="s">
        <v>1519</v>
      </c>
      <c r="V338" s="5" t="s">
        <v>1508</v>
      </c>
      <c r="W338" s="5" t="s">
        <v>1548</v>
      </c>
      <c r="X338" s="5" t="s">
        <v>1509</v>
      </c>
      <c r="Z338" s="5">
        <v>3000.0</v>
      </c>
      <c r="AB338" s="5">
        <v>0.0</v>
      </c>
      <c r="AC338" s="5" t="s">
        <v>1510</v>
      </c>
      <c r="AE338" s="5">
        <v>3021.0</v>
      </c>
      <c r="AF338" s="36">
        <v>46100.69178142361</v>
      </c>
      <c r="AG338" s="5" t="s">
        <v>1549</v>
      </c>
    </row>
    <row r="339" ht="22.5" customHeight="1">
      <c r="A339" s="5" t="s">
        <v>1936</v>
      </c>
      <c r="B339" s="5" t="s">
        <v>1506</v>
      </c>
      <c r="C339" s="5" t="s">
        <v>100</v>
      </c>
      <c r="D339" s="5" t="s">
        <v>14</v>
      </c>
      <c r="E339" s="5">
        <v>9.713525247E9</v>
      </c>
      <c r="F339" s="5" t="s">
        <v>101</v>
      </c>
      <c r="H339" s="35">
        <v>36535.0</v>
      </c>
      <c r="I339" s="5" t="s">
        <v>16</v>
      </c>
      <c r="J339" s="5" t="s">
        <v>17</v>
      </c>
      <c r="K339" s="5" t="b">
        <v>0</v>
      </c>
      <c r="L339" s="5" t="b">
        <v>0</v>
      </c>
      <c r="N339" s="5">
        <v>1500.0</v>
      </c>
      <c r="O339" s="5">
        <v>0.0</v>
      </c>
      <c r="P339" s="5">
        <v>0.0</v>
      </c>
      <c r="R339" s="5" t="b">
        <v>0</v>
      </c>
      <c r="U339" s="5" t="s">
        <v>1519</v>
      </c>
      <c r="V339" s="5" t="s">
        <v>1508</v>
      </c>
      <c r="W339" s="5" t="s">
        <v>1508</v>
      </c>
      <c r="X339" s="5" t="s">
        <v>1509</v>
      </c>
      <c r="Z339" s="5">
        <v>1500.0</v>
      </c>
      <c r="AB339" s="5">
        <v>0.0</v>
      </c>
      <c r="AC339" s="5" t="s">
        <v>1510</v>
      </c>
      <c r="AE339" s="5">
        <v>4033.0</v>
      </c>
      <c r="AF339" s="36">
        <v>46100.68137155093</v>
      </c>
    </row>
    <row r="340" ht="22.5" customHeight="1">
      <c r="A340" s="5" t="s">
        <v>1937</v>
      </c>
      <c r="B340" s="5" t="s">
        <v>1506</v>
      </c>
      <c r="C340" s="5" t="s">
        <v>295</v>
      </c>
      <c r="D340" s="5" t="s">
        <v>14</v>
      </c>
      <c r="E340" s="25" t="s">
        <v>296</v>
      </c>
      <c r="F340" s="5" t="s">
        <v>297</v>
      </c>
      <c r="H340" s="35">
        <v>34479.0</v>
      </c>
      <c r="I340" s="5" t="s">
        <v>156</v>
      </c>
      <c r="J340" s="5" t="s">
        <v>17</v>
      </c>
      <c r="K340" s="5" t="b">
        <v>0</v>
      </c>
      <c r="L340" s="5" t="b">
        <v>0</v>
      </c>
      <c r="N340" s="5">
        <v>1500.0</v>
      </c>
      <c r="O340" s="5">
        <v>0.0</v>
      </c>
      <c r="P340" s="5">
        <v>0.0</v>
      </c>
      <c r="R340" s="5" t="b">
        <v>0</v>
      </c>
      <c r="U340" s="5" t="s">
        <v>1519</v>
      </c>
      <c r="V340" s="5" t="s">
        <v>1508</v>
      </c>
      <c r="W340" s="5" t="s">
        <v>1508</v>
      </c>
      <c r="X340" s="5" t="s">
        <v>1509</v>
      </c>
      <c r="Z340" s="5">
        <v>1500.0</v>
      </c>
      <c r="AB340" s="5">
        <v>0.0</v>
      </c>
      <c r="AC340" s="5" t="s">
        <v>1510</v>
      </c>
      <c r="AE340" s="5">
        <v>4048.0</v>
      </c>
      <c r="AF340" s="36">
        <v>46100.67447953704</v>
      </c>
      <c r="AG340" s="5" t="s">
        <v>1938</v>
      </c>
    </row>
    <row r="341" ht="22.5" hidden="1" customHeight="1">
      <c r="A341" s="5" t="s">
        <v>1939</v>
      </c>
      <c r="B341" s="5" t="s">
        <v>1506</v>
      </c>
      <c r="C341" s="5" t="s">
        <v>869</v>
      </c>
      <c r="D341" s="5" t="s">
        <v>14</v>
      </c>
      <c r="E341" s="5">
        <v>9.851173568E9</v>
      </c>
      <c r="F341" s="5" t="s">
        <v>870</v>
      </c>
      <c r="H341" s="35">
        <v>28871.0</v>
      </c>
      <c r="I341" s="5" t="s">
        <v>156</v>
      </c>
      <c r="J341" s="5" t="s">
        <v>42</v>
      </c>
      <c r="K341" s="5" t="b">
        <v>0</v>
      </c>
      <c r="L341" s="5" t="b">
        <v>0</v>
      </c>
      <c r="N341" s="5">
        <v>7500.0</v>
      </c>
      <c r="O341" s="5">
        <v>0.0</v>
      </c>
      <c r="P341" s="5">
        <v>0.0</v>
      </c>
      <c r="R341" s="5" t="b">
        <v>0</v>
      </c>
      <c r="U341" s="5" t="s">
        <v>1517</v>
      </c>
      <c r="V341" s="5" t="s">
        <v>1508</v>
      </c>
      <c r="W341" s="5" t="s">
        <v>1548</v>
      </c>
      <c r="X341" s="5" t="s">
        <v>1509</v>
      </c>
      <c r="Z341" s="5">
        <v>7500.0</v>
      </c>
      <c r="AB341" s="5">
        <v>0.0</v>
      </c>
      <c r="AC341" s="5" t="s">
        <v>1510</v>
      </c>
      <c r="AE341" s="5">
        <v>2048.0</v>
      </c>
      <c r="AF341" s="36">
        <v>46100.57958672454</v>
      </c>
      <c r="AG341" s="5" t="s">
        <v>1549</v>
      </c>
    </row>
    <row r="342" ht="22.5" customHeight="1">
      <c r="A342" s="5" t="s">
        <v>1940</v>
      </c>
      <c r="B342" s="5" t="s">
        <v>1506</v>
      </c>
      <c r="C342" s="5" t="s">
        <v>298</v>
      </c>
      <c r="D342" s="5" t="s">
        <v>14</v>
      </c>
      <c r="E342" s="5">
        <v>9.76724401E9</v>
      </c>
      <c r="F342" s="5" t="s">
        <v>299</v>
      </c>
      <c r="H342" s="35">
        <v>38570.0</v>
      </c>
      <c r="I342" s="5" t="s">
        <v>156</v>
      </c>
      <c r="J342" s="5" t="s">
        <v>17</v>
      </c>
      <c r="K342" s="5" t="b">
        <v>0</v>
      </c>
      <c r="L342" s="5" t="b">
        <v>0</v>
      </c>
      <c r="N342" s="5">
        <v>1500.0</v>
      </c>
      <c r="O342" s="5">
        <v>0.0</v>
      </c>
      <c r="P342" s="5">
        <v>0.0</v>
      </c>
      <c r="R342" s="5" t="b">
        <v>0</v>
      </c>
      <c r="U342" s="5" t="s">
        <v>1514</v>
      </c>
      <c r="V342" s="5" t="s">
        <v>1508</v>
      </c>
      <c r="W342" s="5" t="s">
        <v>1508</v>
      </c>
      <c r="X342" s="5" t="s">
        <v>1509</v>
      </c>
      <c r="Z342" s="5">
        <v>1500.0</v>
      </c>
      <c r="AB342" s="5">
        <v>0.0</v>
      </c>
      <c r="AC342" s="5" t="s">
        <v>1510</v>
      </c>
      <c r="AE342" s="5">
        <v>4032.0</v>
      </c>
      <c r="AF342" s="36">
        <v>46100.26781006945</v>
      </c>
    </row>
    <row r="343" ht="22.5" hidden="1" customHeight="1">
      <c r="A343" s="5" t="s">
        <v>1941</v>
      </c>
      <c r="B343" s="5" t="s">
        <v>1506</v>
      </c>
      <c r="C343" s="5" t="s">
        <v>451</v>
      </c>
      <c r="D343" s="5" t="s">
        <v>14</v>
      </c>
      <c r="E343" s="5">
        <v>9.851151295E9</v>
      </c>
      <c r="F343" s="5" t="s">
        <v>452</v>
      </c>
      <c r="H343" s="35">
        <v>32433.0</v>
      </c>
      <c r="I343" s="5" t="s">
        <v>16</v>
      </c>
      <c r="J343" s="5" t="s">
        <v>39</v>
      </c>
      <c r="K343" s="5" t="b">
        <v>0</v>
      </c>
      <c r="L343" s="5" t="b">
        <v>0</v>
      </c>
      <c r="N343" s="5">
        <v>3000.0</v>
      </c>
      <c r="O343" s="5">
        <v>0.0</v>
      </c>
      <c r="P343" s="5">
        <v>0.0</v>
      </c>
      <c r="R343" s="5" t="b">
        <v>0</v>
      </c>
      <c r="U343" s="5" t="s">
        <v>1507</v>
      </c>
      <c r="V343" s="5" t="s">
        <v>1508</v>
      </c>
      <c r="W343" s="5" t="s">
        <v>1508</v>
      </c>
      <c r="X343" s="5" t="s">
        <v>1509</v>
      </c>
      <c r="Z343" s="5">
        <v>3000.0</v>
      </c>
      <c r="AB343" s="5">
        <v>0.0</v>
      </c>
      <c r="AC343" s="5" t="s">
        <v>1510</v>
      </c>
      <c r="AE343" s="5">
        <v>3020.0</v>
      </c>
      <c r="AF343" s="36">
        <v>46099.781772650465</v>
      </c>
    </row>
    <row r="344" ht="22.5" hidden="1" customHeight="1">
      <c r="A344" s="5" t="s">
        <v>1942</v>
      </c>
      <c r="B344" s="5" t="s">
        <v>1506</v>
      </c>
      <c r="C344" s="5" t="s">
        <v>1183</v>
      </c>
      <c r="D344" s="5" t="s">
        <v>14</v>
      </c>
      <c r="E344" s="25" t="s">
        <v>1184</v>
      </c>
      <c r="F344" s="5" t="s">
        <v>1185</v>
      </c>
      <c r="H344" s="35">
        <v>36275.0</v>
      </c>
      <c r="I344" s="5" t="s">
        <v>16</v>
      </c>
      <c r="J344" s="5" t="s">
        <v>42</v>
      </c>
      <c r="K344" s="5" t="b">
        <v>0</v>
      </c>
      <c r="L344" s="5" t="b">
        <v>0</v>
      </c>
      <c r="N344" s="5">
        <v>7500.0</v>
      </c>
      <c r="O344" s="5">
        <v>0.0</v>
      </c>
      <c r="P344" s="5">
        <v>0.0</v>
      </c>
      <c r="R344" s="5" t="b">
        <v>0</v>
      </c>
      <c r="U344" s="5" t="s">
        <v>1507</v>
      </c>
      <c r="V344" s="5" t="s">
        <v>1508</v>
      </c>
      <c r="W344" s="5" t="s">
        <v>1548</v>
      </c>
      <c r="X344" s="5" t="s">
        <v>1509</v>
      </c>
      <c r="Z344" s="5">
        <v>7500.0</v>
      </c>
      <c r="AB344" s="5">
        <v>0.0</v>
      </c>
      <c r="AC344" s="5" t="s">
        <v>1510</v>
      </c>
      <c r="AE344" s="5">
        <v>2043.0</v>
      </c>
      <c r="AF344" s="36">
        <v>46099.34799127315</v>
      </c>
      <c r="AG344" s="5" t="s">
        <v>1549</v>
      </c>
    </row>
    <row r="345" ht="22.5" hidden="1" customHeight="1">
      <c r="A345" s="5" t="s">
        <v>1943</v>
      </c>
      <c r="B345" s="5" t="s">
        <v>1506</v>
      </c>
      <c r="C345" s="5" t="s">
        <v>894</v>
      </c>
      <c r="D345" s="5" t="s">
        <v>14</v>
      </c>
      <c r="E345" s="25" t="s">
        <v>895</v>
      </c>
      <c r="F345" s="5" t="s">
        <v>896</v>
      </c>
      <c r="G345" s="5">
        <v>7176530.0</v>
      </c>
      <c r="H345" s="35">
        <v>34754.0</v>
      </c>
      <c r="I345" s="5" t="s">
        <v>16</v>
      </c>
      <c r="J345" s="5" t="s">
        <v>42</v>
      </c>
      <c r="K345" s="5" t="b">
        <v>0</v>
      </c>
      <c r="L345" s="5" t="b">
        <v>0</v>
      </c>
      <c r="N345" s="5">
        <v>7500.0</v>
      </c>
      <c r="O345" s="5">
        <v>0.0</v>
      </c>
      <c r="P345" s="5">
        <v>0.0</v>
      </c>
      <c r="R345" s="5" t="b">
        <v>0</v>
      </c>
      <c r="U345" s="5" t="s">
        <v>1507</v>
      </c>
      <c r="V345" s="5" t="s">
        <v>1508</v>
      </c>
      <c r="W345" s="5" t="s">
        <v>1508</v>
      </c>
      <c r="X345" s="5" t="s">
        <v>1509</v>
      </c>
      <c r="Z345" s="5">
        <v>0.0</v>
      </c>
      <c r="AA345" s="5" t="s">
        <v>1944</v>
      </c>
      <c r="AB345" s="5">
        <v>7500.0</v>
      </c>
      <c r="AC345" s="5" t="s">
        <v>1510</v>
      </c>
      <c r="AD345" s="5" t="s">
        <v>1511</v>
      </c>
      <c r="AE345" s="5">
        <v>2044.0</v>
      </c>
      <c r="AF345" s="36">
        <v>46099.344756956016</v>
      </c>
    </row>
    <row r="346" ht="22.5" hidden="1" customHeight="1">
      <c r="A346" s="5" t="s">
        <v>1945</v>
      </c>
      <c r="B346" s="5" t="s">
        <v>1506</v>
      </c>
      <c r="C346" s="5" t="s">
        <v>1946</v>
      </c>
      <c r="D346" s="5" t="s">
        <v>14</v>
      </c>
      <c r="E346" s="25" t="s">
        <v>1027</v>
      </c>
      <c r="F346" s="5" t="s">
        <v>1028</v>
      </c>
      <c r="H346" s="35">
        <v>34546.0</v>
      </c>
      <c r="I346" s="5" t="s">
        <v>156</v>
      </c>
      <c r="J346" s="5" t="s">
        <v>42</v>
      </c>
      <c r="K346" s="5" t="b">
        <v>0</v>
      </c>
      <c r="L346" s="5" t="b">
        <v>0</v>
      </c>
      <c r="N346" s="5">
        <v>7500.0</v>
      </c>
      <c r="O346" s="5">
        <v>0.0</v>
      </c>
      <c r="P346" s="5">
        <v>0.0</v>
      </c>
      <c r="R346" s="5" t="b">
        <v>0</v>
      </c>
      <c r="U346" s="5" t="s">
        <v>1519</v>
      </c>
      <c r="V346" s="5" t="s">
        <v>1508</v>
      </c>
      <c r="W346" s="5" t="s">
        <v>1508</v>
      </c>
      <c r="X346" s="5" t="s">
        <v>1509</v>
      </c>
      <c r="Z346" s="5">
        <v>7500.0</v>
      </c>
      <c r="AB346" s="5">
        <v>0.0</v>
      </c>
      <c r="AC346" s="5" t="s">
        <v>1510</v>
      </c>
      <c r="AE346" s="5">
        <v>2041.0</v>
      </c>
      <c r="AF346" s="36">
        <v>46098.474776145835</v>
      </c>
    </row>
    <row r="347" ht="22.5" hidden="1" customHeight="1">
      <c r="A347" s="5" t="s">
        <v>1947</v>
      </c>
      <c r="B347" s="5" t="s">
        <v>1506</v>
      </c>
      <c r="C347" s="5" t="s">
        <v>1029</v>
      </c>
      <c r="D347" s="5" t="s">
        <v>14</v>
      </c>
      <c r="E347" s="25" t="s">
        <v>1030</v>
      </c>
      <c r="F347" s="5" t="s">
        <v>1031</v>
      </c>
      <c r="H347" s="35">
        <v>30832.0</v>
      </c>
      <c r="I347" s="5" t="s">
        <v>156</v>
      </c>
      <c r="J347" s="5" t="s">
        <v>42</v>
      </c>
      <c r="K347" s="5" t="b">
        <v>0</v>
      </c>
      <c r="L347" s="5" t="b">
        <v>0</v>
      </c>
      <c r="N347" s="5">
        <v>7500.0</v>
      </c>
      <c r="O347" s="5">
        <v>0.0</v>
      </c>
      <c r="P347" s="5">
        <v>0.0</v>
      </c>
      <c r="R347" s="5" t="b">
        <v>0</v>
      </c>
      <c r="U347" s="5" t="s">
        <v>1519</v>
      </c>
      <c r="V347" s="5" t="s">
        <v>1508</v>
      </c>
      <c r="W347" s="5" t="s">
        <v>1508</v>
      </c>
      <c r="X347" s="5" t="s">
        <v>1509</v>
      </c>
      <c r="Z347" s="5">
        <v>7500.0</v>
      </c>
      <c r="AB347" s="5">
        <v>0.0</v>
      </c>
      <c r="AC347" s="5" t="s">
        <v>1510</v>
      </c>
      <c r="AE347" s="5">
        <v>2040.0</v>
      </c>
      <c r="AF347" s="36">
        <v>46098.472290729165</v>
      </c>
    </row>
    <row r="348" ht="22.5" hidden="1" customHeight="1">
      <c r="A348" s="5" t="s">
        <v>1948</v>
      </c>
      <c r="B348" s="5" t="s">
        <v>1506</v>
      </c>
      <c r="C348" s="5" t="s">
        <v>504</v>
      </c>
      <c r="D348" s="5" t="s">
        <v>147</v>
      </c>
      <c r="E348" s="25" t="s">
        <v>505</v>
      </c>
      <c r="F348" s="5" t="s">
        <v>506</v>
      </c>
      <c r="H348" s="35">
        <v>36286.0</v>
      </c>
      <c r="I348" s="5" t="s">
        <v>16</v>
      </c>
      <c r="J348" s="5" t="s">
        <v>39</v>
      </c>
      <c r="K348" s="5" t="b">
        <v>0</v>
      </c>
      <c r="L348" s="5" t="b">
        <v>0</v>
      </c>
      <c r="N348" s="5">
        <v>25.0</v>
      </c>
      <c r="O348" s="5">
        <v>0.0</v>
      </c>
      <c r="P348" s="5">
        <v>0.0</v>
      </c>
      <c r="R348" s="5" t="b">
        <v>0</v>
      </c>
      <c r="U348" s="5" t="s">
        <v>1519</v>
      </c>
      <c r="V348" s="5" t="s">
        <v>1508</v>
      </c>
      <c r="W348" s="5" t="s">
        <v>1548</v>
      </c>
      <c r="X348" s="5" t="s">
        <v>1509</v>
      </c>
      <c r="Z348" s="5">
        <v>25.0</v>
      </c>
      <c r="AB348" s="5">
        <v>0.0</v>
      </c>
      <c r="AC348" s="5" t="s">
        <v>1546</v>
      </c>
      <c r="AD348" s="5" t="s">
        <v>1511</v>
      </c>
      <c r="AE348" s="5">
        <v>3019.0</v>
      </c>
      <c r="AF348" s="36">
        <v>46098.389943194445</v>
      </c>
      <c r="AG348" s="5" t="s">
        <v>1549</v>
      </c>
    </row>
    <row r="349" ht="22.5" hidden="1" customHeight="1">
      <c r="A349" s="5" t="s">
        <v>1949</v>
      </c>
      <c r="B349" s="5" t="s">
        <v>1506</v>
      </c>
      <c r="C349" s="5" t="s">
        <v>717</v>
      </c>
      <c r="D349" s="5" t="s">
        <v>14</v>
      </c>
      <c r="E349" s="25" t="s">
        <v>718</v>
      </c>
      <c r="F349" s="5" t="s">
        <v>719</v>
      </c>
      <c r="H349" s="35">
        <v>33245.0</v>
      </c>
      <c r="I349" s="5" t="s">
        <v>156</v>
      </c>
      <c r="J349" s="5" t="s">
        <v>39</v>
      </c>
      <c r="K349" s="5" t="b">
        <v>0</v>
      </c>
      <c r="L349" s="5" t="b">
        <v>0</v>
      </c>
      <c r="N349" s="5">
        <v>3000.0</v>
      </c>
      <c r="O349" s="5">
        <v>0.0</v>
      </c>
      <c r="P349" s="5">
        <v>0.0</v>
      </c>
      <c r="R349" s="5" t="b">
        <v>0</v>
      </c>
      <c r="U349" s="5" t="s">
        <v>1517</v>
      </c>
      <c r="V349" s="5" t="s">
        <v>1508</v>
      </c>
      <c r="W349" s="5" t="s">
        <v>1508</v>
      </c>
      <c r="X349" s="5" t="s">
        <v>1509</v>
      </c>
      <c r="Z349" s="5">
        <v>2250.0</v>
      </c>
      <c r="AA349" s="5" t="s">
        <v>1627</v>
      </c>
      <c r="AB349" s="5">
        <v>750.0</v>
      </c>
      <c r="AC349" s="5" t="s">
        <v>1510</v>
      </c>
      <c r="AE349" s="5">
        <v>3018.0</v>
      </c>
      <c r="AF349" s="36">
        <v>46098.35629509259</v>
      </c>
    </row>
    <row r="350" ht="22.5" hidden="1" customHeight="1">
      <c r="A350" s="5" t="s">
        <v>1950</v>
      </c>
      <c r="B350" s="5" t="s">
        <v>1506</v>
      </c>
      <c r="C350" s="5" t="s">
        <v>1331</v>
      </c>
      <c r="D350" s="5" t="s">
        <v>366</v>
      </c>
      <c r="E350" s="25" t="s">
        <v>1332</v>
      </c>
      <c r="F350" s="5" t="s">
        <v>1333</v>
      </c>
      <c r="G350" s="5">
        <v>5379987.0</v>
      </c>
      <c r="H350" s="35">
        <v>34946.0</v>
      </c>
      <c r="I350" s="5" t="s">
        <v>156</v>
      </c>
      <c r="J350" s="5" t="s">
        <v>36</v>
      </c>
      <c r="K350" s="5" t="b">
        <v>0</v>
      </c>
      <c r="L350" s="5" t="b">
        <v>1</v>
      </c>
      <c r="M350" s="5" t="s">
        <v>36</v>
      </c>
      <c r="N350" s="5">
        <v>12000.0</v>
      </c>
      <c r="O350" s="5">
        <v>12000.0</v>
      </c>
      <c r="P350" s="5">
        <v>0.0</v>
      </c>
      <c r="R350" s="5" t="b">
        <v>0</v>
      </c>
      <c r="S350" s="5" t="s">
        <v>1331</v>
      </c>
      <c r="U350" s="5" t="s">
        <v>1517</v>
      </c>
      <c r="V350" s="5" t="s">
        <v>1508</v>
      </c>
      <c r="W350" s="5" t="s">
        <v>1548</v>
      </c>
      <c r="X350" s="5" t="s">
        <v>1509</v>
      </c>
      <c r="Z350" s="5">
        <v>24000.0</v>
      </c>
      <c r="AB350" s="5">
        <v>0.0</v>
      </c>
      <c r="AC350" s="5" t="s">
        <v>1510</v>
      </c>
      <c r="AD350" s="5" t="s">
        <v>1511</v>
      </c>
      <c r="AE350" s="5">
        <v>1055.0</v>
      </c>
      <c r="AF350" s="36">
        <v>46098.07402202547</v>
      </c>
      <c r="AG350" s="5" t="s">
        <v>1951</v>
      </c>
    </row>
    <row r="351" ht="22.5" hidden="1" customHeight="1">
      <c r="A351" s="5" t="s">
        <v>1952</v>
      </c>
      <c r="B351" s="5" t="s">
        <v>1506</v>
      </c>
      <c r="C351" s="5" t="s">
        <v>453</v>
      </c>
      <c r="D351" s="5" t="s">
        <v>14</v>
      </c>
      <c r="E351" s="25" t="s">
        <v>454</v>
      </c>
      <c r="F351" s="5" t="s">
        <v>455</v>
      </c>
      <c r="H351" s="35">
        <v>39332.0</v>
      </c>
      <c r="I351" s="5" t="s">
        <v>16</v>
      </c>
      <c r="J351" s="5" t="s">
        <v>39</v>
      </c>
      <c r="K351" s="5" t="b">
        <v>0</v>
      </c>
      <c r="L351" s="5" t="b">
        <v>0</v>
      </c>
      <c r="N351" s="5">
        <v>3000.0</v>
      </c>
      <c r="O351" s="5">
        <v>0.0</v>
      </c>
      <c r="P351" s="5">
        <v>0.0</v>
      </c>
      <c r="R351" s="5" t="b">
        <v>0</v>
      </c>
      <c r="U351" s="5" t="s">
        <v>1519</v>
      </c>
      <c r="V351" s="5" t="s">
        <v>1508</v>
      </c>
      <c r="W351" s="5" t="s">
        <v>1508</v>
      </c>
      <c r="X351" s="5" t="s">
        <v>1509</v>
      </c>
      <c r="Z351" s="5">
        <v>0.0</v>
      </c>
      <c r="AA351" s="5" t="s">
        <v>779</v>
      </c>
      <c r="AB351" s="5">
        <v>3000.0</v>
      </c>
      <c r="AC351" s="5" t="s">
        <v>1510</v>
      </c>
      <c r="AD351" s="5" t="s">
        <v>1511</v>
      </c>
      <c r="AE351" s="5">
        <v>3016.0</v>
      </c>
      <c r="AF351" s="36">
        <v>46097.586604780096</v>
      </c>
    </row>
    <row r="352" ht="22.5" hidden="1" customHeight="1">
      <c r="A352" s="5" t="s">
        <v>1953</v>
      </c>
      <c r="B352" s="5" t="s">
        <v>1506</v>
      </c>
      <c r="C352" s="5" t="s">
        <v>1186</v>
      </c>
      <c r="D352" s="5" t="s">
        <v>14</v>
      </c>
      <c r="E352" s="25" t="s">
        <v>1954</v>
      </c>
      <c r="F352" s="5" t="s">
        <v>1187</v>
      </c>
      <c r="H352" s="35">
        <v>39232.0</v>
      </c>
      <c r="I352" s="5" t="s">
        <v>16</v>
      </c>
      <c r="J352" s="5" t="s">
        <v>42</v>
      </c>
      <c r="K352" s="5" t="b">
        <v>0</v>
      </c>
      <c r="L352" s="5" t="b">
        <v>0</v>
      </c>
      <c r="N352" s="5">
        <v>7500.0</v>
      </c>
      <c r="O352" s="5">
        <v>0.0</v>
      </c>
      <c r="P352" s="5">
        <v>0.0</v>
      </c>
      <c r="R352" s="5" t="b">
        <v>0</v>
      </c>
      <c r="U352" s="5" t="s">
        <v>1519</v>
      </c>
      <c r="V352" s="5" t="s">
        <v>1508</v>
      </c>
      <c r="W352" s="5" t="s">
        <v>1508</v>
      </c>
      <c r="X352" s="5" t="s">
        <v>1509</v>
      </c>
      <c r="Z352" s="5">
        <v>0.0</v>
      </c>
      <c r="AA352" s="5" t="s">
        <v>779</v>
      </c>
      <c r="AB352" s="5">
        <v>7500.0</v>
      </c>
      <c r="AC352" s="5" t="s">
        <v>1510</v>
      </c>
      <c r="AD352" s="5" t="s">
        <v>1511</v>
      </c>
      <c r="AE352" s="5">
        <v>2039.0</v>
      </c>
      <c r="AF352" s="36">
        <v>46097.58317376157</v>
      </c>
    </row>
    <row r="353" ht="22.5" hidden="1" customHeight="1">
      <c r="A353" s="5" t="s">
        <v>1955</v>
      </c>
      <c r="B353" s="5" t="s">
        <v>1506</v>
      </c>
      <c r="C353" s="5" t="s">
        <v>1032</v>
      </c>
      <c r="D353" s="5" t="s">
        <v>14</v>
      </c>
      <c r="E353" s="25" t="s">
        <v>1019</v>
      </c>
      <c r="F353" s="5" t="s">
        <v>1020</v>
      </c>
      <c r="H353" s="35">
        <v>34000.0</v>
      </c>
      <c r="I353" s="5" t="s">
        <v>156</v>
      </c>
      <c r="J353" s="5" t="s">
        <v>42</v>
      </c>
      <c r="K353" s="5" t="b">
        <v>0</v>
      </c>
      <c r="L353" s="5" t="b">
        <v>0</v>
      </c>
      <c r="N353" s="5">
        <v>7500.0</v>
      </c>
      <c r="O353" s="5">
        <v>0.0</v>
      </c>
      <c r="P353" s="5">
        <v>0.0</v>
      </c>
      <c r="R353" s="5" t="b">
        <v>0</v>
      </c>
      <c r="U353" s="5" t="s">
        <v>1519</v>
      </c>
      <c r="V353" s="5" t="s">
        <v>1508</v>
      </c>
      <c r="W353" s="5" t="s">
        <v>1508</v>
      </c>
      <c r="X353" s="5" t="s">
        <v>1509</v>
      </c>
      <c r="Z353" s="5">
        <v>0.0</v>
      </c>
      <c r="AA353" s="5" t="s">
        <v>779</v>
      </c>
      <c r="AB353" s="5">
        <v>7500.0</v>
      </c>
      <c r="AC353" s="5" t="s">
        <v>1510</v>
      </c>
      <c r="AD353" s="5" t="s">
        <v>1511</v>
      </c>
      <c r="AE353" s="5">
        <v>2038.0</v>
      </c>
      <c r="AF353" s="36">
        <v>46097.576390104165</v>
      </c>
    </row>
    <row r="354" ht="22.5" customHeight="1">
      <c r="A354" s="5" t="s">
        <v>1956</v>
      </c>
      <c r="B354" s="5" t="s">
        <v>1506</v>
      </c>
      <c r="C354" s="5" t="s">
        <v>300</v>
      </c>
      <c r="D354" s="5" t="s">
        <v>14</v>
      </c>
      <c r="E354" s="25" t="s">
        <v>301</v>
      </c>
      <c r="F354" s="5" t="s">
        <v>302</v>
      </c>
      <c r="H354" s="35">
        <v>25557.0</v>
      </c>
      <c r="I354" s="5" t="s">
        <v>156</v>
      </c>
      <c r="J354" s="5" t="s">
        <v>17</v>
      </c>
      <c r="K354" s="5" t="b">
        <v>0</v>
      </c>
      <c r="L354" s="5" t="b">
        <v>0</v>
      </c>
      <c r="N354" s="5">
        <v>1500.0</v>
      </c>
      <c r="O354" s="5">
        <v>0.0</v>
      </c>
      <c r="P354" s="5">
        <v>0.0</v>
      </c>
      <c r="R354" s="5" t="b">
        <v>0</v>
      </c>
      <c r="U354" s="5" t="s">
        <v>1514</v>
      </c>
      <c r="V354" s="5" t="s">
        <v>1508</v>
      </c>
      <c r="W354" s="5" t="s">
        <v>1508</v>
      </c>
      <c r="X354" s="5" t="s">
        <v>1509</v>
      </c>
      <c r="Z354" s="5">
        <v>1200.0</v>
      </c>
      <c r="AA354" s="5" t="s">
        <v>1515</v>
      </c>
      <c r="AB354" s="5">
        <v>300.0</v>
      </c>
      <c r="AC354" s="5" t="s">
        <v>1510</v>
      </c>
      <c r="AE354" s="5">
        <v>4025.0</v>
      </c>
      <c r="AF354" s="36">
        <v>46097.561366608796</v>
      </c>
    </row>
    <row r="355" ht="22.5" customHeight="1">
      <c r="A355" s="5" t="s">
        <v>1957</v>
      </c>
      <c r="B355" s="5" t="s">
        <v>1506</v>
      </c>
      <c r="C355" s="5" t="s">
        <v>142</v>
      </c>
      <c r="D355" s="5" t="s">
        <v>1958</v>
      </c>
      <c r="E355" s="25" t="s">
        <v>144</v>
      </c>
      <c r="F355" s="5" t="s">
        <v>145</v>
      </c>
      <c r="H355" s="35">
        <v>25557.0</v>
      </c>
      <c r="I355" s="5" t="s">
        <v>16</v>
      </c>
      <c r="J355" s="5" t="s">
        <v>17</v>
      </c>
      <c r="K355" s="5" t="b">
        <v>0</v>
      </c>
      <c r="L355" s="5" t="b">
        <v>0</v>
      </c>
      <c r="N355" s="5">
        <v>1500.0</v>
      </c>
      <c r="O355" s="5">
        <v>0.0</v>
      </c>
      <c r="P355" s="5">
        <v>0.0</v>
      </c>
      <c r="R355" s="5" t="b">
        <v>0</v>
      </c>
      <c r="U355" s="5" t="s">
        <v>1517</v>
      </c>
      <c r="V355" s="5" t="s">
        <v>1508</v>
      </c>
      <c r="W355" s="5" t="s">
        <v>1508</v>
      </c>
      <c r="X355" s="5" t="s">
        <v>1509</v>
      </c>
      <c r="Z355" s="5">
        <v>1200.0</v>
      </c>
      <c r="AA355" s="5" t="s">
        <v>1515</v>
      </c>
      <c r="AB355" s="5">
        <v>300.0</v>
      </c>
      <c r="AC355" s="5" t="s">
        <v>1510</v>
      </c>
      <c r="AE355" s="5">
        <v>4024.0</v>
      </c>
      <c r="AF355" s="36">
        <v>46097.5593125</v>
      </c>
    </row>
    <row r="356" ht="22.5" customHeight="1">
      <c r="A356" s="5" t="s">
        <v>1959</v>
      </c>
      <c r="B356" s="5" t="s">
        <v>1506</v>
      </c>
      <c r="C356" s="5" t="s">
        <v>129</v>
      </c>
      <c r="D356" s="5" t="s">
        <v>1541</v>
      </c>
      <c r="E356" s="25" t="s">
        <v>131</v>
      </c>
      <c r="F356" s="5" t="s">
        <v>132</v>
      </c>
      <c r="H356" s="35">
        <v>25557.0</v>
      </c>
      <c r="I356" s="5" t="s">
        <v>16</v>
      </c>
      <c r="J356" s="5" t="s">
        <v>17</v>
      </c>
      <c r="K356" s="5" t="b">
        <v>0</v>
      </c>
      <c r="L356" s="5" t="b">
        <v>0</v>
      </c>
      <c r="N356" s="5">
        <v>1500.0</v>
      </c>
      <c r="O356" s="5">
        <v>0.0</v>
      </c>
      <c r="P356" s="5">
        <v>0.0</v>
      </c>
      <c r="R356" s="5" t="b">
        <v>0</v>
      </c>
      <c r="U356" s="5" t="s">
        <v>1517</v>
      </c>
      <c r="V356" s="5" t="s">
        <v>1508</v>
      </c>
      <c r="W356" s="5" t="s">
        <v>1508</v>
      </c>
      <c r="X356" s="5" t="s">
        <v>1509</v>
      </c>
      <c r="Z356" s="5">
        <v>1200.0</v>
      </c>
      <c r="AA356" s="5" t="s">
        <v>1515</v>
      </c>
      <c r="AB356" s="5">
        <v>300.0</v>
      </c>
      <c r="AC356" s="5" t="s">
        <v>1510</v>
      </c>
      <c r="AD356" s="5" t="s">
        <v>1511</v>
      </c>
      <c r="AE356" s="5">
        <v>4026.0</v>
      </c>
      <c r="AF356" s="36">
        <v>46097.556893761575</v>
      </c>
    </row>
    <row r="357" ht="22.5" customHeight="1">
      <c r="A357" s="5" t="s">
        <v>1960</v>
      </c>
      <c r="B357" s="5" t="s">
        <v>1506</v>
      </c>
      <c r="C357" s="5" t="s">
        <v>303</v>
      </c>
      <c r="D357" s="5" t="s">
        <v>14</v>
      </c>
      <c r="E357" s="25" t="s">
        <v>304</v>
      </c>
      <c r="F357" s="5" t="s">
        <v>305</v>
      </c>
      <c r="H357" s="35">
        <v>25557.0</v>
      </c>
      <c r="I357" s="5" t="s">
        <v>156</v>
      </c>
      <c r="J357" s="5" t="s">
        <v>17</v>
      </c>
      <c r="K357" s="5" t="b">
        <v>0</v>
      </c>
      <c r="L357" s="5" t="b">
        <v>0</v>
      </c>
      <c r="N357" s="5">
        <v>1500.0</v>
      </c>
      <c r="O357" s="5">
        <v>0.0</v>
      </c>
      <c r="P357" s="5">
        <v>0.0</v>
      </c>
      <c r="R357" s="5" t="b">
        <v>0</v>
      </c>
      <c r="U357" s="5" t="s">
        <v>1517</v>
      </c>
      <c r="V357" s="5" t="s">
        <v>1508</v>
      </c>
      <c r="W357" s="5" t="s">
        <v>1508</v>
      </c>
      <c r="X357" s="5" t="s">
        <v>1509</v>
      </c>
      <c r="Z357" s="5">
        <v>1200.0</v>
      </c>
      <c r="AA357" s="5" t="s">
        <v>1515</v>
      </c>
      <c r="AB357" s="5">
        <v>300.0</v>
      </c>
      <c r="AC357" s="5" t="s">
        <v>1510</v>
      </c>
      <c r="AE357" s="5">
        <v>4023.0</v>
      </c>
      <c r="AF357" s="36">
        <v>46097.55329510417</v>
      </c>
    </row>
    <row r="358" ht="22.5" customHeight="1">
      <c r="A358" s="5" t="s">
        <v>1961</v>
      </c>
      <c r="B358" s="5" t="s">
        <v>1506</v>
      </c>
      <c r="C358" s="5" t="s">
        <v>306</v>
      </c>
      <c r="D358" s="5" t="s">
        <v>14</v>
      </c>
      <c r="E358" s="25" t="s">
        <v>103</v>
      </c>
      <c r="F358" s="5" t="s">
        <v>104</v>
      </c>
      <c r="H358" s="35">
        <v>25557.0</v>
      </c>
      <c r="I358" s="5" t="s">
        <v>156</v>
      </c>
      <c r="J358" s="5" t="s">
        <v>17</v>
      </c>
      <c r="K358" s="5" t="b">
        <v>0</v>
      </c>
      <c r="L358" s="5" t="b">
        <v>0</v>
      </c>
      <c r="N358" s="5">
        <v>1500.0</v>
      </c>
      <c r="O358" s="5">
        <v>0.0</v>
      </c>
      <c r="P358" s="5">
        <v>0.0</v>
      </c>
      <c r="R358" s="5" t="b">
        <v>0</v>
      </c>
      <c r="U358" s="5" t="s">
        <v>1578</v>
      </c>
      <c r="V358" s="5" t="s">
        <v>1508</v>
      </c>
      <c r="W358" s="5" t="s">
        <v>1508</v>
      </c>
      <c r="X358" s="5" t="s">
        <v>1509</v>
      </c>
      <c r="Z358" s="5">
        <v>1200.0</v>
      </c>
      <c r="AA358" s="5" t="s">
        <v>1515</v>
      </c>
      <c r="AB358" s="5">
        <v>300.0</v>
      </c>
      <c r="AC358" s="5" t="s">
        <v>1510</v>
      </c>
      <c r="AD358" s="5" t="s">
        <v>1511</v>
      </c>
      <c r="AE358" s="5">
        <v>4027.0</v>
      </c>
      <c r="AF358" s="36">
        <v>46097.55204973379</v>
      </c>
    </row>
    <row r="359" ht="22.5" customHeight="1">
      <c r="A359" s="5" t="s">
        <v>1962</v>
      </c>
      <c r="B359" s="5" t="s">
        <v>1506</v>
      </c>
      <c r="C359" s="5" t="s">
        <v>102</v>
      </c>
      <c r="D359" s="5" t="s">
        <v>14</v>
      </c>
      <c r="E359" s="25" t="s">
        <v>103</v>
      </c>
      <c r="F359" s="5" t="s">
        <v>104</v>
      </c>
      <c r="H359" s="35">
        <v>25557.0</v>
      </c>
      <c r="I359" s="5" t="s">
        <v>16</v>
      </c>
      <c r="J359" s="5" t="s">
        <v>17</v>
      </c>
      <c r="K359" s="5" t="b">
        <v>0</v>
      </c>
      <c r="L359" s="5" t="b">
        <v>0</v>
      </c>
      <c r="N359" s="5">
        <v>1500.0</v>
      </c>
      <c r="O359" s="5">
        <v>0.0</v>
      </c>
      <c r="P359" s="5">
        <v>0.0</v>
      </c>
      <c r="R359" s="5" t="b">
        <v>0</v>
      </c>
      <c r="U359" s="5" t="s">
        <v>1519</v>
      </c>
      <c r="V359" s="5" t="s">
        <v>1508</v>
      </c>
      <c r="W359" s="5" t="s">
        <v>1508</v>
      </c>
      <c r="X359" s="5" t="s">
        <v>1509</v>
      </c>
      <c r="Z359" s="5">
        <v>1200.0</v>
      </c>
      <c r="AA359" s="5" t="s">
        <v>1515</v>
      </c>
      <c r="AB359" s="5">
        <v>300.0</v>
      </c>
      <c r="AC359" s="5" t="s">
        <v>1510</v>
      </c>
      <c r="AD359" s="5" t="s">
        <v>1511</v>
      </c>
      <c r="AE359" s="5">
        <v>4028.0</v>
      </c>
      <c r="AF359" s="36">
        <v>46097.551028194444</v>
      </c>
    </row>
    <row r="360" ht="22.5" customHeight="1">
      <c r="A360" s="5" t="s">
        <v>1963</v>
      </c>
      <c r="B360" s="5" t="s">
        <v>1506</v>
      </c>
      <c r="C360" s="5" t="s">
        <v>105</v>
      </c>
      <c r="D360" s="5" t="s">
        <v>14</v>
      </c>
      <c r="E360" s="25" t="s">
        <v>106</v>
      </c>
      <c r="F360" s="5" t="s">
        <v>107</v>
      </c>
      <c r="H360" s="35">
        <v>25557.0</v>
      </c>
      <c r="I360" s="5" t="s">
        <v>16</v>
      </c>
      <c r="J360" s="5" t="s">
        <v>17</v>
      </c>
      <c r="K360" s="5" t="b">
        <v>0</v>
      </c>
      <c r="L360" s="5" t="b">
        <v>0</v>
      </c>
      <c r="N360" s="5">
        <v>1500.0</v>
      </c>
      <c r="O360" s="5">
        <v>0.0</v>
      </c>
      <c r="P360" s="5">
        <v>0.0</v>
      </c>
      <c r="R360" s="5" t="b">
        <v>0</v>
      </c>
      <c r="U360" s="5" t="s">
        <v>1519</v>
      </c>
      <c r="V360" s="5" t="s">
        <v>1508</v>
      </c>
      <c r="W360" s="5" t="s">
        <v>1508</v>
      </c>
      <c r="X360" s="5" t="s">
        <v>1509</v>
      </c>
      <c r="Z360" s="5">
        <v>1200.0</v>
      </c>
      <c r="AA360" s="5" t="s">
        <v>1515</v>
      </c>
      <c r="AB360" s="5">
        <v>300.0</v>
      </c>
      <c r="AC360" s="5" t="s">
        <v>1510</v>
      </c>
      <c r="AE360" s="5">
        <v>4022.0</v>
      </c>
      <c r="AF360" s="36">
        <v>46097.54952609954</v>
      </c>
    </row>
    <row r="361" ht="22.5" customHeight="1">
      <c r="A361" s="5" t="s">
        <v>1964</v>
      </c>
      <c r="B361" s="5" t="s">
        <v>1506</v>
      </c>
      <c r="C361" s="5" t="s">
        <v>307</v>
      </c>
      <c r="D361" s="5" t="s">
        <v>14</v>
      </c>
      <c r="E361" s="25" t="s">
        <v>106</v>
      </c>
      <c r="F361" s="5" t="s">
        <v>107</v>
      </c>
      <c r="H361" s="35">
        <v>25557.0</v>
      </c>
      <c r="I361" s="5" t="s">
        <v>156</v>
      </c>
      <c r="J361" s="5" t="s">
        <v>17</v>
      </c>
      <c r="K361" s="5" t="b">
        <v>0</v>
      </c>
      <c r="L361" s="5" t="b">
        <v>0</v>
      </c>
      <c r="N361" s="5">
        <v>1500.0</v>
      </c>
      <c r="O361" s="5">
        <v>0.0</v>
      </c>
      <c r="P361" s="5">
        <v>0.0</v>
      </c>
      <c r="R361" s="5" t="b">
        <v>0</v>
      </c>
      <c r="U361" s="5" t="s">
        <v>1517</v>
      </c>
      <c r="V361" s="5" t="s">
        <v>1508</v>
      </c>
      <c r="W361" s="5" t="s">
        <v>1508</v>
      </c>
      <c r="X361" s="5" t="s">
        <v>1509</v>
      </c>
      <c r="Z361" s="5">
        <v>1200.0</v>
      </c>
      <c r="AA361" s="5" t="s">
        <v>1515</v>
      </c>
      <c r="AB361" s="5">
        <v>300.0</v>
      </c>
      <c r="AC361" s="5" t="s">
        <v>1510</v>
      </c>
      <c r="AD361" s="5" t="s">
        <v>1511</v>
      </c>
      <c r="AE361" s="5">
        <v>4029.0</v>
      </c>
      <c r="AF361" s="36">
        <v>46097.54800030093</v>
      </c>
    </row>
    <row r="362" ht="22.5" customHeight="1">
      <c r="A362" s="5" t="s">
        <v>1965</v>
      </c>
      <c r="B362" s="5" t="s">
        <v>1506</v>
      </c>
      <c r="C362" s="5" t="s">
        <v>308</v>
      </c>
      <c r="D362" s="5" t="s">
        <v>14</v>
      </c>
      <c r="E362" s="25" t="s">
        <v>309</v>
      </c>
      <c r="F362" s="5" t="s">
        <v>310</v>
      </c>
      <c r="H362" s="35">
        <v>25557.0</v>
      </c>
      <c r="I362" s="5" t="s">
        <v>156</v>
      </c>
      <c r="J362" s="5" t="s">
        <v>17</v>
      </c>
      <c r="K362" s="5" t="b">
        <v>0</v>
      </c>
      <c r="L362" s="5" t="b">
        <v>0</v>
      </c>
      <c r="N362" s="5">
        <v>1500.0</v>
      </c>
      <c r="O362" s="5">
        <v>0.0</v>
      </c>
      <c r="P362" s="5">
        <v>0.0</v>
      </c>
      <c r="R362" s="5" t="b">
        <v>0</v>
      </c>
      <c r="U362" s="5" t="s">
        <v>1519</v>
      </c>
      <c r="V362" s="5" t="s">
        <v>1508</v>
      </c>
      <c r="W362" s="5" t="s">
        <v>1508</v>
      </c>
      <c r="X362" s="5" t="s">
        <v>1509</v>
      </c>
      <c r="Z362" s="5">
        <v>1200.0</v>
      </c>
      <c r="AA362" s="5" t="s">
        <v>1515</v>
      </c>
      <c r="AB362" s="5">
        <v>300.0</v>
      </c>
      <c r="AC362" s="5" t="s">
        <v>1510</v>
      </c>
      <c r="AE362" s="5">
        <v>4021.0</v>
      </c>
      <c r="AF362" s="36">
        <v>46097.54671969907</v>
      </c>
    </row>
    <row r="363" ht="22.5" customHeight="1">
      <c r="A363" s="5" t="s">
        <v>1966</v>
      </c>
      <c r="B363" s="5" t="s">
        <v>1506</v>
      </c>
      <c r="C363" s="5" t="s">
        <v>311</v>
      </c>
      <c r="D363" s="5" t="s">
        <v>14</v>
      </c>
      <c r="E363" s="25" t="s">
        <v>312</v>
      </c>
      <c r="F363" s="5" t="s">
        <v>313</v>
      </c>
      <c r="H363" s="35">
        <v>25557.0</v>
      </c>
      <c r="I363" s="5" t="s">
        <v>156</v>
      </c>
      <c r="J363" s="5" t="s">
        <v>17</v>
      </c>
      <c r="K363" s="5" t="b">
        <v>0</v>
      </c>
      <c r="L363" s="5" t="b">
        <v>0</v>
      </c>
      <c r="N363" s="5">
        <v>1500.0</v>
      </c>
      <c r="O363" s="5">
        <v>0.0</v>
      </c>
      <c r="P363" s="5">
        <v>0.0</v>
      </c>
      <c r="R363" s="5" t="b">
        <v>0</v>
      </c>
      <c r="U363" s="5" t="s">
        <v>1519</v>
      </c>
      <c r="V363" s="5" t="s">
        <v>1508</v>
      </c>
      <c r="W363" s="5" t="s">
        <v>1508</v>
      </c>
      <c r="X363" s="5" t="s">
        <v>1509</v>
      </c>
      <c r="Z363" s="5">
        <v>1200.0</v>
      </c>
      <c r="AA363" s="5" t="s">
        <v>1515</v>
      </c>
      <c r="AB363" s="5">
        <v>300.0</v>
      </c>
      <c r="AC363" s="5" t="s">
        <v>1510</v>
      </c>
      <c r="AD363" s="5" t="s">
        <v>1511</v>
      </c>
      <c r="AE363" s="5">
        <v>4030.0</v>
      </c>
      <c r="AF363" s="36">
        <v>46097.54439101852</v>
      </c>
    </row>
    <row r="364" ht="22.5" customHeight="1">
      <c r="A364" s="5" t="s">
        <v>1967</v>
      </c>
      <c r="B364" s="5" t="s">
        <v>1506</v>
      </c>
      <c r="C364" s="5" t="s">
        <v>314</v>
      </c>
      <c r="D364" s="5" t="s">
        <v>14</v>
      </c>
      <c r="E364" s="25" t="s">
        <v>315</v>
      </c>
      <c r="F364" s="5" t="s">
        <v>316</v>
      </c>
      <c r="H364" s="35">
        <v>25557.0</v>
      </c>
      <c r="I364" s="5" t="s">
        <v>156</v>
      </c>
      <c r="J364" s="5" t="s">
        <v>17</v>
      </c>
      <c r="K364" s="5" t="b">
        <v>0</v>
      </c>
      <c r="L364" s="5" t="b">
        <v>0</v>
      </c>
      <c r="N364" s="5">
        <v>1500.0</v>
      </c>
      <c r="O364" s="5">
        <v>0.0</v>
      </c>
      <c r="P364" s="5">
        <v>0.0</v>
      </c>
      <c r="R364" s="5" t="b">
        <v>0</v>
      </c>
      <c r="U364" s="5" t="s">
        <v>1514</v>
      </c>
      <c r="V364" s="5" t="s">
        <v>1508</v>
      </c>
      <c r="W364" s="5" t="s">
        <v>1508</v>
      </c>
      <c r="X364" s="5" t="s">
        <v>1509</v>
      </c>
      <c r="Z364" s="5">
        <v>1200.0</v>
      </c>
      <c r="AA364" s="5" t="s">
        <v>1515</v>
      </c>
      <c r="AB364" s="5">
        <v>300.0</v>
      </c>
      <c r="AC364" s="5" t="s">
        <v>1510</v>
      </c>
      <c r="AE364" s="5">
        <v>4020.0</v>
      </c>
      <c r="AF364" s="36">
        <v>46097.53891357639</v>
      </c>
    </row>
    <row r="365" ht="22.5" customHeight="1">
      <c r="A365" s="5" t="s">
        <v>1968</v>
      </c>
      <c r="B365" s="5" t="s">
        <v>1506</v>
      </c>
      <c r="C365" s="5" t="s">
        <v>317</v>
      </c>
      <c r="D365" s="5" t="s">
        <v>14</v>
      </c>
      <c r="E365" s="25" t="s">
        <v>318</v>
      </c>
      <c r="F365" s="5" t="s">
        <v>319</v>
      </c>
      <c r="H365" s="35">
        <v>25557.0</v>
      </c>
      <c r="I365" s="5" t="s">
        <v>156</v>
      </c>
      <c r="J365" s="5" t="s">
        <v>17</v>
      </c>
      <c r="K365" s="5" t="b">
        <v>0</v>
      </c>
      <c r="L365" s="5" t="b">
        <v>0</v>
      </c>
      <c r="N365" s="5">
        <v>1500.0</v>
      </c>
      <c r="O365" s="5">
        <v>0.0</v>
      </c>
      <c r="P365" s="5">
        <v>0.0</v>
      </c>
      <c r="R365" s="5" t="b">
        <v>0</v>
      </c>
      <c r="U365" s="5" t="s">
        <v>1517</v>
      </c>
      <c r="V365" s="5" t="s">
        <v>1508</v>
      </c>
      <c r="W365" s="5" t="s">
        <v>1508</v>
      </c>
      <c r="X365" s="5" t="s">
        <v>1509</v>
      </c>
      <c r="Z365" s="5">
        <v>1200.0</v>
      </c>
      <c r="AA365" s="5" t="s">
        <v>1515</v>
      </c>
      <c r="AB365" s="5">
        <v>300.0</v>
      </c>
      <c r="AC365" s="5" t="s">
        <v>1510</v>
      </c>
      <c r="AE365" s="5">
        <v>4019.0</v>
      </c>
      <c r="AF365" s="36">
        <v>46097.5376453125</v>
      </c>
    </row>
    <row r="366" ht="22.5" customHeight="1">
      <c r="A366" s="5" t="s">
        <v>1969</v>
      </c>
      <c r="B366" s="5" t="s">
        <v>1506</v>
      </c>
      <c r="C366" s="5" t="s">
        <v>320</v>
      </c>
      <c r="D366" s="5" t="s">
        <v>14</v>
      </c>
      <c r="E366" s="25" t="s">
        <v>321</v>
      </c>
      <c r="F366" s="5" t="s">
        <v>322</v>
      </c>
      <c r="H366" s="35">
        <v>25557.0</v>
      </c>
      <c r="I366" s="5" t="s">
        <v>156</v>
      </c>
      <c r="J366" s="5" t="s">
        <v>17</v>
      </c>
      <c r="K366" s="5" t="b">
        <v>0</v>
      </c>
      <c r="L366" s="5" t="b">
        <v>0</v>
      </c>
      <c r="N366" s="5">
        <v>1500.0</v>
      </c>
      <c r="O366" s="5">
        <v>0.0</v>
      </c>
      <c r="P366" s="5">
        <v>0.0</v>
      </c>
      <c r="R366" s="5" t="b">
        <v>0</v>
      </c>
      <c r="U366" s="5" t="s">
        <v>1517</v>
      </c>
      <c r="V366" s="5" t="s">
        <v>1508</v>
      </c>
      <c r="W366" s="5" t="s">
        <v>1508</v>
      </c>
      <c r="X366" s="5" t="s">
        <v>1509</v>
      </c>
      <c r="Z366" s="5">
        <v>1200.0</v>
      </c>
      <c r="AA366" s="5" t="s">
        <v>1515</v>
      </c>
      <c r="AB366" s="5">
        <v>300.0</v>
      </c>
      <c r="AC366" s="5" t="s">
        <v>1510</v>
      </c>
      <c r="AE366" s="5">
        <v>4018.0</v>
      </c>
      <c r="AF366" s="36">
        <v>46097.5363862963</v>
      </c>
    </row>
    <row r="367" ht="22.5" customHeight="1">
      <c r="A367" s="5" t="s">
        <v>1970</v>
      </c>
      <c r="B367" s="5" t="s">
        <v>1506</v>
      </c>
      <c r="C367" s="5" t="s">
        <v>323</v>
      </c>
      <c r="D367" s="5" t="s">
        <v>14</v>
      </c>
      <c r="E367" s="25" t="s">
        <v>109</v>
      </c>
      <c r="F367" s="5" t="s">
        <v>110</v>
      </c>
      <c r="H367" s="35">
        <v>25557.0</v>
      </c>
      <c r="I367" s="5" t="s">
        <v>156</v>
      </c>
      <c r="J367" s="5" t="s">
        <v>17</v>
      </c>
      <c r="K367" s="5" t="b">
        <v>0</v>
      </c>
      <c r="L367" s="5" t="b">
        <v>0</v>
      </c>
      <c r="N367" s="5">
        <v>1500.0</v>
      </c>
      <c r="O367" s="5">
        <v>0.0</v>
      </c>
      <c r="P367" s="5">
        <v>0.0</v>
      </c>
      <c r="R367" s="5" t="b">
        <v>0</v>
      </c>
      <c r="U367" s="5" t="s">
        <v>1514</v>
      </c>
      <c r="V367" s="5" t="s">
        <v>1508</v>
      </c>
      <c r="W367" s="5" t="s">
        <v>1508</v>
      </c>
      <c r="X367" s="5" t="s">
        <v>1509</v>
      </c>
      <c r="Z367" s="5">
        <v>1200.0</v>
      </c>
      <c r="AA367" s="5" t="s">
        <v>1515</v>
      </c>
      <c r="AB367" s="5">
        <v>300.0</v>
      </c>
      <c r="AC367" s="5" t="s">
        <v>1510</v>
      </c>
      <c r="AE367" s="5">
        <v>4017.0</v>
      </c>
      <c r="AF367" s="36">
        <v>46097.53469233796</v>
      </c>
    </row>
    <row r="368" ht="22.5" customHeight="1">
      <c r="A368" s="5" t="s">
        <v>1971</v>
      </c>
      <c r="B368" s="5" t="s">
        <v>1506</v>
      </c>
      <c r="C368" s="5" t="s">
        <v>108</v>
      </c>
      <c r="D368" s="5" t="s">
        <v>14</v>
      </c>
      <c r="E368" s="25" t="s">
        <v>109</v>
      </c>
      <c r="F368" s="5" t="s">
        <v>110</v>
      </c>
      <c r="H368" s="35">
        <v>25557.0</v>
      </c>
      <c r="I368" s="5" t="s">
        <v>16</v>
      </c>
      <c r="J368" s="5" t="s">
        <v>17</v>
      </c>
      <c r="K368" s="5" t="b">
        <v>0</v>
      </c>
      <c r="L368" s="5" t="b">
        <v>0</v>
      </c>
      <c r="N368" s="5">
        <v>1500.0</v>
      </c>
      <c r="O368" s="5">
        <v>0.0</v>
      </c>
      <c r="P368" s="5">
        <v>0.0</v>
      </c>
      <c r="R368" s="5" t="b">
        <v>0</v>
      </c>
      <c r="U368" s="5" t="s">
        <v>1517</v>
      </c>
      <c r="V368" s="5" t="s">
        <v>1508</v>
      </c>
      <c r="W368" s="5" t="s">
        <v>1508</v>
      </c>
      <c r="X368" s="5" t="s">
        <v>1509</v>
      </c>
      <c r="Z368" s="5">
        <v>1200.0</v>
      </c>
      <c r="AA368" s="5" t="s">
        <v>1515</v>
      </c>
      <c r="AB368" s="5">
        <v>300.0</v>
      </c>
      <c r="AC368" s="5" t="s">
        <v>1510</v>
      </c>
      <c r="AD368" s="5" t="s">
        <v>1511</v>
      </c>
      <c r="AE368" s="5">
        <v>4031.0</v>
      </c>
      <c r="AF368" s="36">
        <v>46097.533307129626</v>
      </c>
    </row>
    <row r="369" ht="22.5" customHeight="1">
      <c r="A369" s="5" t="s">
        <v>1972</v>
      </c>
      <c r="B369" s="5" t="s">
        <v>1506</v>
      </c>
      <c r="C369" s="5" t="s">
        <v>111</v>
      </c>
      <c r="D369" s="5" t="s">
        <v>14</v>
      </c>
      <c r="E369" s="25" t="s">
        <v>112</v>
      </c>
      <c r="F369" s="5" t="s">
        <v>113</v>
      </c>
      <c r="H369" s="35">
        <v>25557.0</v>
      </c>
      <c r="I369" s="5" t="s">
        <v>16</v>
      </c>
      <c r="J369" s="5" t="s">
        <v>17</v>
      </c>
      <c r="K369" s="5" t="b">
        <v>0</v>
      </c>
      <c r="L369" s="5" t="b">
        <v>0</v>
      </c>
      <c r="N369" s="5">
        <v>1500.0</v>
      </c>
      <c r="O369" s="5">
        <v>0.0</v>
      </c>
      <c r="P369" s="5">
        <v>0.0</v>
      </c>
      <c r="R369" s="5" t="b">
        <v>0</v>
      </c>
      <c r="U369" s="5" t="s">
        <v>1514</v>
      </c>
      <c r="V369" s="5" t="s">
        <v>1508</v>
      </c>
      <c r="W369" s="5" t="s">
        <v>1508</v>
      </c>
      <c r="X369" s="5" t="s">
        <v>1509</v>
      </c>
      <c r="Z369" s="5">
        <v>1200.0</v>
      </c>
      <c r="AA369" s="5" t="s">
        <v>1515</v>
      </c>
      <c r="AB369" s="5">
        <v>300.0</v>
      </c>
      <c r="AC369" s="5" t="s">
        <v>1510</v>
      </c>
      <c r="AE369" s="5">
        <v>4016.0</v>
      </c>
      <c r="AF369" s="36">
        <v>46097.53175589121</v>
      </c>
    </row>
    <row r="370" ht="22.5" customHeight="1">
      <c r="A370" s="5" t="s">
        <v>1973</v>
      </c>
      <c r="B370" s="5" t="s">
        <v>1506</v>
      </c>
      <c r="C370" s="5" t="s">
        <v>324</v>
      </c>
      <c r="D370" s="5" t="s">
        <v>14</v>
      </c>
      <c r="E370" s="25" t="s">
        <v>115</v>
      </c>
      <c r="F370" s="5" t="s">
        <v>116</v>
      </c>
      <c r="H370" s="35">
        <v>25557.0</v>
      </c>
      <c r="I370" s="5" t="s">
        <v>156</v>
      </c>
      <c r="J370" s="5" t="s">
        <v>17</v>
      </c>
      <c r="K370" s="5" t="b">
        <v>0</v>
      </c>
      <c r="L370" s="5" t="b">
        <v>0</v>
      </c>
      <c r="N370" s="5">
        <v>1500.0</v>
      </c>
      <c r="O370" s="5">
        <v>0.0</v>
      </c>
      <c r="P370" s="5">
        <v>0.0</v>
      </c>
      <c r="R370" s="5" t="b">
        <v>0</v>
      </c>
      <c r="U370" s="5" t="s">
        <v>1514</v>
      </c>
      <c r="V370" s="5" t="s">
        <v>1508</v>
      </c>
      <c r="W370" s="5" t="s">
        <v>1508</v>
      </c>
      <c r="X370" s="5" t="s">
        <v>1509</v>
      </c>
      <c r="Z370" s="5">
        <v>1200.0</v>
      </c>
      <c r="AA370" s="5" t="s">
        <v>1515</v>
      </c>
      <c r="AB370" s="5">
        <v>300.0</v>
      </c>
      <c r="AC370" s="5" t="s">
        <v>1510</v>
      </c>
      <c r="AD370" s="5" t="s">
        <v>1511</v>
      </c>
      <c r="AE370" s="5">
        <v>4014.0</v>
      </c>
      <c r="AF370" s="36">
        <v>46097.40155284722</v>
      </c>
    </row>
    <row r="371" ht="22.5" customHeight="1">
      <c r="A371" s="5" t="s">
        <v>1974</v>
      </c>
      <c r="B371" s="5" t="s">
        <v>1506</v>
      </c>
      <c r="C371" s="5" t="s">
        <v>114</v>
      </c>
      <c r="D371" s="5" t="s">
        <v>14</v>
      </c>
      <c r="E371" s="25" t="s">
        <v>115</v>
      </c>
      <c r="F371" s="5" t="s">
        <v>116</v>
      </c>
      <c r="H371" s="35">
        <v>25557.0</v>
      </c>
      <c r="I371" s="5" t="s">
        <v>16</v>
      </c>
      <c r="J371" s="5" t="s">
        <v>17</v>
      </c>
      <c r="K371" s="5" t="b">
        <v>0</v>
      </c>
      <c r="L371" s="5" t="b">
        <v>0</v>
      </c>
      <c r="N371" s="5">
        <v>1500.0</v>
      </c>
      <c r="O371" s="5">
        <v>0.0</v>
      </c>
      <c r="P371" s="5">
        <v>0.0</v>
      </c>
      <c r="R371" s="5" t="b">
        <v>0</v>
      </c>
      <c r="U371" s="5" t="s">
        <v>1514</v>
      </c>
      <c r="V371" s="5" t="s">
        <v>1508</v>
      </c>
      <c r="W371" s="5" t="s">
        <v>1508</v>
      </c>
      <c r="X371" s="5" t="s">
        <v>1509</v>
      </c>
      <c r="Z371" s="5">
        <v>1200.0</v>
      </c>
      <c r="AA371" s="5" t="s">
        <v>1515</v>
      </c>
      <c r="AB371" s="5">
        <v>300.0</v>
      </c>
      <c r="AC371" s="5" t="s">
        <v>1510</v>
      </c>
      <c r="AE371" s="5">
        <v>4013.0</v>
      </c>
      <c r="AF371" s="36">
        <v>46097.399555474534</v>
      </c>
    </row>
    <row r="372" ht="22.5" customHeight="1">
      <c r="A372" s="5" t="s">
        <v>1975</v>
      </c>
      <c r="B372" s="5" t="s">
        <v>1506</v>
      </c>
      <c r="C372" s="5" t="s">
        <v>117</v>
      </c>
      <c r="D372" s="5" t="s">
        <v>14</v>
      </c>
      <c r="E372" s="25" t="s">
        <v>118</v>
      </c>
      <c r="F372" s="5" t="s">
        <v>119</v>
      </c>
      <c r="H372" s="35">
        <v>25557.0</v>
      </c>
      <c r="I372" s="5" t="s">
        <v>16</v>
      </c>
      <c r="J372" s="5" t="s">
        <v>17</v>
      </c>
      <c r="K372" s="5" t="b">
        <v>0</v>
      </c>
      <c r="L372" s="5" t="b">
        <v>0</v>
      </c>
      <c r="N372" s="5">
        <v>1500.0</v>
      </c>
      <c r="O372" s="5">
        <v>0.0</v>
      </c>
      <c r="P372" s="5">
        <v>0.0</v>
      </c>
      <c r="R372" s="5" t="b">
        <v>0</v>
      </c>
      <c r="U372" s="5" t="s">
        <v>1519</v>
      </c>
      <c r="V372" s="5" t="s">
        <v>1508</v>
      </c>
      <c r="W372" s="5" t="s">
        <v>1508</v>
      </c>
      <c r="X372" s="5" t="s">
        <v>1509</v>
      </c>
      <c r="Z372" s="5">
        <v>1200.0</v>
      </c>
      <c r="AA372" s="5" t="s">
        <v>1515</v>
      </c>
      <c r="AB372" s="5">
        <v>300.0</v>
      </c>
      <c r="AC372" s="5" t="s">
        <v>1510</v>
      </c>
      <c r="AD372" s="5" t="s">
        <v>1511</v>
      </c>
      <c r="AE372" s="5">
        <v>4015.0</v>
      </c>
      <c r="AF372" s="36">
        <v>46097.39267353009</v>
      </c>
    </row>
    <row r="373" ht="22.5" customHeight="1">
      <c r="A373" s="5" t="s">
        <v>1976</v>
      </c>
      <c r="B373" s="5" t="s">
        <v>1506</v>
      </c>
      <c r="C373" s="5" t="s">
        <v>325</v>
      </c>
      <c r="D373" s="5" t="s">
        <v>14</v>
      </c>
      <c r="E373" s="25" t="s">
        <v>301</v>
      </c>
      <c r="F373" s="5" t="s">
        <v>302</v>
      </c>
      <c r="H373" s="35">
        <v>25557.0</v>
      </c>
      <c r="I373" s="5" t="s">
        <v>156</v>
      </c>
      <c r="J373" s="5" t="s">
        <v>17</v>
      </c>
      <c r="K373" s="5" t="b">
        <v>0</v>
      </c>
      <c r="L373" s="5" t="b">
        <v>0</v>
      </c>
      <c r="N373" s="5">
        <v>1500.0</v>
      </c>
      <c r="O373" s="5">
        <v>0.0</v>
      </c>
      <c r="P373" s="5">
        <v>0.0</v>
      </c>
      <c r="R373" s="5" t="b">
        <v>0</v>
      </c>
      <c r="U373" s="5" t="s">
        <v>1514</v>
      </c>
      <c r="V373" s="5" t="s">
        <v>1508</v>
      </c>
      <c r="W373" s="5" t="s">
        <v>1508</v>
      </c>
      <c r="X373" s="5" t="s">
        <v>1509</v>
      </c>
      <c r="Z373" s="5">
        <v>1200.0</v>
      </c>
      <c r="AA373" s="5" t="s">
        <v>1515</v>
      </c>
      <c r="AB373" s="5">
        <v>300.0</v>
      </c>
      <c r="AC373" s="5" t="s">
        <v>1510</v>
      </c>
      <c r="AE373" s="5">
        <v>4012.0</v>
      </c>
      <c r="AF373" s="36">
        <v>46097.39061090278</v>
      </c>
    </row>
    <row r="374" ht="22.5" customHeight="1">
      <c r="A374" s="5" t="s">
        <v>1977</v>
      </c>
      <c r="B374" s="5" t="s">
        <v>1506</v>
      </c>
      <c r="C374" s="5" t="s">
        <v>365</v>
      </c>
      <c r="D374" s="5" t="s">
        <v>366</v>
      </c>
      <c r="E374" s="5">
        <v>9.851107008E9</v>
      </c>
      <c r="F374" s="5" t="s">
        <v>367</v>
      </c>
      <c r="H374" s="35">
        <v>33531.0</v>
      </c>
      <c r="I374" s="5" t="s">
        <v>156</v>
      </c>
      <c r="J374" s="5" t="s">
        <v>17</v>
      </c>
      <c r="K374" s="5" t="b">
        <v>0</v>
      </c>
      <c r="L374" s="5" t="b">
        <v>0</v>
      </c>
      <c r="N374" s="5">
        <v>1500.0</v>
      </c>
      <c r="O374" s="5">
        <v>0.0</v>
      </c>
      <c r="P374" s="5">
        <v>0.0</v>
      </c>
      <c r="R374" s="5" t="b">
        <v>0</v>
      </c>
      <c r="U374" s="5" t="s">
        <v>1578</v>
      </c>
      <c r="V374" s="5" t="s">
        <v>1508</v>
      </c>
      <c r="W374" s="5" t="s">
        <v>1548</v>
      </c>
      <c r="X374" s="5" t="s">
        <v>1509</v>
      </c>
      <c r="Z374" s="5">
        <v>1200.0</v>
      </c>
      <c r="AA374" s="5" t="s">
        <v>1591</v>
      </c>
      <c r="AB374" s="5">
        <v>300.0</v>
      </c>
      <c r="AC374" s="5" t="s">
        <v>1510</v>
      </c>
      <c r="AE374" s="5">
        <v>4011.0</v>
      </c>
      <c r="AF374" s="36">
        <v>46097.27500952546</v>
      </c>
      <c r="AG374" s="5" t="s">
        <v>1549</v>
      </c>
    </row>
    <row r="375" ht="22.5" hidden="1" customHeight="1">
      <c r="A375" s="5" t="s">
        <v>1978</v>
      </c>
      <c r="B375" s="5" t="s">
        <v>1506</v>
      </c>
      <c r="C375" s="5" t="s">
        <v>456</v>
      </c>
      <c r="D375" s="5" t="s">
        <v>14</v>
      </c>
      <c r="E375" s="5">
        <v>9.767555574E9</v>
      </c>
      <c r="F375" s="5" t="s">
        <v>457</v>
      </c>
      <c r="G375" s="5">
        <v>7172680.0</v>
      </c>
      <c r="H375" s="35">
        <v>37285.0</v>
      </c>
      <c r="I375" s="5" t="s">
        <v>16</v>
      </c>
      <c r="J375" s="5" t="s">
        <v>39</v>
      </c>
      <c r="K375" s="5" t="b">
        <v>0</v>
      </c>
      <c r="L375" s="5" t="b">
        <v>0</v>
      </c>
      <c r="N375" s="5">
        <v>3000.0</v>
      </c>
      <c r="O375" s="5">
        <v>0.0</v>
      </c>
      <c r="P375" s="5">
        <v>0.0</v>
      </c>
      <c r="R375" s="5" t="b">
        <v>0</v>
      </c>
      <c r="U375" s="5" t="s">
        <v>1507</v>
      </c>
      <c r="V375" s="5" t="s">
        <v>1508</v>
      </c>
      <c r="W375" s="5" t="s">
        <v>1548</v>
      </c>
      <c r="X375" s="5" t="s">
        <v>1509</v>
      </c>
      <c r="Z375" s="5">
        <v>2250.0</v>
      </c>
      <c r="AA375" s="5" t="s">
        <v>1979</v>
      </c>
      <c r="AB375" s="5">
        <v>750.0</v>
      </c>
      <c r="AC375" s="5" t="s">
        <v>1510</v>
      </c>
      <c r="AE375" s="5">
        <v>3015.0</v>
      </c>
      <c r="AF375" s="36">
        <v>46097.271338576385</v>
      </c>
      <c r="AG375" s="5" t="s">
        <v>1980</v>
      </c>
    </row>
    <row r="376" ht="22.5" customHeight="1">
      <c r="A376" s="5" t="s">
        <v>1981</v>
      </c>
      <c r="B376" s="5" t="s">
        <v>1506</v>
      </c>
      <c r="C376" s="5" t="s">
        <v>1982</v>
      </c>
      <c r="D376" s="5" t="s">
        <v>1983</v>
      </c>
      <c r="E376" s="5">
        <v>9.813177689E9</v>
      </c>
      <c r="F376" s="5" t="s">
        <v>128</v>
      </c>
      <c r="H376" s="35">
        <v>36180.0</v>
      </c>
      <c r="I376" s="5" t="s">
        <v>16</v>
      </c>
      <c r="J376" s="5" t="s">
        <v>17</v>
      </c>
      <c r="K376" s="5" t="b">
        <v>0</v>
      </c>
      <c r="L376" s="5" t="b">
        <v>0</v>
      </c>
      <c r="N376" s="5">
        <v>1500.0</v>
      </c>
      <c r="O376" s="5">
        <v>0.0</v>
      </c>
      <c r="P376" s="5">
        <v>0.0</v>
      </c>
      <c r="R376" s="5" t="b">
        <v>0</v>
      </c>
      <c r="U376" s="5" t="s">
        <v>1580</v>
      </c>
      <c r="V376" s="5" t="s">
        <v>1508</v>
      </c>
      <c r="W376" s="5" t="s">
        <v>1508</v>
      </c>
      <c r="X376" s="5" t="s">
        <v>1509</v>
      </c>
      <c r="Z376" s="5">
        <v>1125.0</v>
      </c>
      <c r="AA376" s="5" t="s">
        <v>1979</v>
      </c>
      <c r="AB376" s="5">
        <v>375.0</v>
      </c>
      <c r="AC376" s="5" t="s">
        <v>1510</v>
      </c>
      <c r="AE376" s="5">
        <v>4010.0</v>
      </c>
      <c r="AF376" s="36">
        <v>46097.26063027778</v>
      </c>
    </row>
    <row r="377" ht="22.5" hidden="1" customHeight="1">
      <c r="A377" s="5" t="s">
        <v>1984</v>
      </c>
      <c r="B377" s="5" t="s">
        <v>1506</v>
      </c>
      <c r="C377" s="5" t="s">
        <v>1410</v>
      </c>
      <c r="D377" s="5" t="s">
        <v>14</v>
      </c>
      <c r="E377" s="5">
        <v>9.808038269E9</v>
      </c>
      <c r="F377" s="5" t="s">
        <v>1411</v>
      </c>
      <c r="H377" s="35">
        <v>35088.0</v>
      </c>
      <c r="I377" s="5" t="s">
        <v>156</v>
      </c>
      <c r="J377" s="5" t="s">
        <v>46</v>
      </c>
      <c r="K377" s="5" t="b">
        <v>0</v>
      </c>
      <c r="L377" s="5" t="b">
        <v>0</v>
      </c>
      <c r="N377" s="5">
        <v>9000.0</v>
      </c>
      <c r="O377" s="5">
        <v>0.0</v>
      </c>
      <c r="P377" s="5">
        <v>0.0</v>
      </c>
      <c r="R377" s="5" t="b">
        <v>0</v>
      </c>
      <c r="U377" s="5" t="s">
        <v>1519</v>
      </c>
      <c r="V377" s="5" t="s">
        <v>1508</v>
      </c>
      <c r="W377" s="5" t="s">
        <v>1508</v>
      </c>
      <c r="X377" s="5" t="s">
        <v>1509</v>
      </c>
      <c r="Z377" s="5">
        <v>6750.0</v>
      </c>
      <c r="AA377" s="5" t="s">
        <v>1979</v>
      </c>
      <c r="AB377" s="5">
        <v>2250.0</v>
      </c>
      <c r="AC377" s="5" t="s">
        <v>1510</v>
      </c>
      <c r="AE377" s="5">
        <v>1515.0</v>
      </c>
      <c r="AF377" s="36">
        <v>46097.25055418981</v>
      </c>
    </row>
    <row r="378" ht="22.5" customHeight="1">
      <c r="A378" s="5" t="s">
        <v>1985</v>
      </c>
      <c r="B378" s="5" t="s">
        <v>1506</v>
      </c>
      <c r="C378" s="5" t="s">
        <v>326</v>
      </c>
      <c r="D378" s="5" t="s">
        <v>14</v>
      </c>
      <c r="E378" s="5">
        <v>9.849622244E9</v>
      </c>
      <c r="F378" s="5" t="s">
        <v>327</v>
      </c>
      <c r="H378" s="35">
        <v>34293.0</v>
      </c>
      <c r="I378" s="5" t="s">
        <v>156</v>
      </c>
      <c r="J378" s="5" t="s">
        <v>17</v>
      </c>
      <c r="K378" s="5" t="b">
        <v>0</v>
      </c>
      <c r="L378" s="5" t="b">
        <v>0</v>
      </c>
      <c r="N378" s="5">
        <v>1500.0</v>
      </c>
      <c r="O378" s="5">
        <v>0.0</v>
      </c>
      <c r="P378" s="5">
        <v>0.0</v>
      </c>
      <c r="R378" s="5" t="b">
        <v>0</v>
      </c>
      <c r="U378" s="5" t="s">
        <v>1514</v>
      </c>
      <c r="V378" s="5" t="s">
        <v>1508</v>
      </c>
      <c r="W378" s="5" t="s">
        <v>1508</v>
      </c>
      <c r="X378" s="5" t="s">
        <v>1509</v>
      </c>
      <c r="Z378" s="5">
        <v>1125.0</v>
      </c>
      <c r="AA378" s="5" t="s">
        <v>1979</v>
      </c>
      <c r="AB378" s="5">
        <v>375.0</v>
      </c>
      <c r="AC378" s="5" t="s">
        <v>1510</v>
      </c>
      <c r="AE378" s="5">
        <v>4009.0</v>
      </c>
      <c r="AF378" s="36">
        <v>46097.23389458333</v>
      </c>
    </row>
    <row r="379" ht="22.5" hidden="1" customHeight="1">
      <c r="A379" s="5" t="s">
        <v>1986</v>
      </c>
      <c r="B379" s="5" t="s">
        <v>1506</v>
      </c>
      <c r="C379" s="5" t="s">
        <v>720</v>
      </c>
      <c r="D379" s="5" t="s">
        <v>14</v>
      </c>
      <c r="E379" s="5">
        <v>9.861111108E9</v>
      </c>
      <c r="F379" s="5" t="s">
        <v>721</v>
      </c>
      <c r="H379" s="35">
        <v>34492.0</v>
      </c>
      <c r="I379" s="5" t="s">
        <v>156</v>
      </c>
      <c r="J379" s="5" t="s">
        <v>39</v>
      </c>
      <c r="K379" s="5" t="b">
        <v>0</v>
      </c>
      <c r="L379" s="5" t="b">
        <v>0</v>
      </c>
      <c r="N379" s="5">
        <v>3000.0</v>
      </c>
      <c r="O379" s="5">
        <v>0.0</v>
      </c>
      <c r="P379" s="5">
        <v>0.0</v>
      </c>
      <c r="R379" s="5" t="b">
        <v>0</v>
      </c>
      <c r="U379" s="5" t="s">
        <v>1514</v>
      </c>
      <c r="V379" s="5" t="s">
        <v>1508</v>
      </c>
      <c r="W379" s="5" t="s">
        <v>1508</v>
      </c>
      <c r="X379" s="5" t="s">
        <v>1509</v>
      </c>
      <c r="Z379" s="5">
        <v>2250.0</v>
      </c>
      <c r="AA379" s="5" t="s">
        <v>1979</v>
      </c>
      <c r="AB379" s="5">
        <v>750.0</v>
      </c>
      <c r="AC379" s="5" t="s">
        <v>1510</v>
      </c>
      <c r="AE379" s="5">
        <v>3014.0</v>
      </c>
      <c r="AF379" s="36">
        <v>46097.23292123843</v>
      </c>
    </row>
    <row r="380" ht="22.5" hidden="1" customHeight="1">
      <c r="A380" s="5" t="s">
        <v>1987</v>
      </c>
      <c r="B380" s="5" t="s">
        <v>1506</v>
      </c>
      <c r="C380" s="5" t="s">
        <v>722</v>
      </c>
      <c r="D380" s="5" t="s">
        <v>14</v>
      </c>
      <c r="E380" s="5">
        <v>9.843018355E9</v>
      </c>
      <c r="F380" s="5" t="s">
        <v>723</v>
      </c>
      <c r="G380" s="5">
        <v>6089969.0</v>
      </c>
      <c r="H380" s="35">
        <v>35112.0</v>
      </c>
      <c r="I380" s="5" t="s">
        <v>156</v>
      </c>
      <c r="J380" s="5" t="s">
        <v>39</v>
      </c>
      <c r="K380" s="5" t="b">
        <v>0</v>
      </c>
      <c r="L380" s="5" t="b">
        <v>0</v>
      </c>
      <c r="N380" s="5">
        <v>3000.0</v>
      </c>
      <c r="O380" s="5">
        <v>0.0</v>
      </c>
      <c r="P380" s="5">
        <v>0.0</v>
      </c>
      <c r="R380" s="5" t="b">
        <v>0</v>
      </c>
      <c r="U380" s="5" t="s">
        <v>1517</v>
      </c>
      <c r="V380" s="5" t="s">
        <v>1508</v>
      </c>
      <c r="W380" s="5" t="s">
        <v>1508</v>
      </c>
      <c r="X380" s="5" t="s">
        <v>1509</v>
      </c>
      <c r="Z380" s="5">
        <v>2250.0</v>
      </c>
      <c r="AA380" s="5" t="s">
        <v>1979</v>
      </c>
      <c r="AB380" s="5">
        <v>750.0</v>
      </c>
      <c r="AC380" s="5" t="s">
        <v>1510</v>
      </c>
      <c r="AE380" s="5">
        <v>3013.0</v>
      </c>
      <c r="AF380" s="36">
        <v>46097.22338934028</v>
      </c>
    </row>
    <row r="381" ht="22.5" customHeight="1">
      <c r="A381" s="5" t="s">
        <v>1988</v>
      </c>
      <c r="B381" s="5" t="s">
        <v>1506</v>
      </c>
      <c r="C381" s="5" t="s">
        <v>328</v>
      </c>
      <c r="D381" s="5" t="s">
        <v>14</v>
      </c>
      <c r="E381" s="5">
        <v>9.765346808E9</v>
      </c>
      <c r="F381" s="5" t="s">
        <v>329</v>
      </c>
      <c r="G381" s="5">
        <v>7171664.0</v>
      </c>
      <c r="H381" s="35">
        <v>37857.0</v>
      </c>
      <c r="I381" s="5" t="s">
        <v>156</v>
      </c>
      <c r="J381" s="5" t="s">
        <v>17</v>
      </c>
      <c r="K381" s="5" t="b">
        <v>0</v>
      </c>
      <c r="L381" s="5" t="b">
        <v>0</v>
      </c>
      <c r="N381" s="5">
        <v>1500.0</v>
      </c>
      <c r="O381" s="5">
        <v>0.0</v>
      </c>
      <c r="P381" s="5">
        <v>0.0</v>
      </c>
      <c r="R381" s="5" t="b">
        <v>0</v>
      </c>
      <c r="U381" s="5" t="s">
        <v>1517</v>
      </c>
      <c r="V381" s="5" t="s">
        <v>1508</v>
      </c>
      <c r="W381" s="5" t="s">
        <v>1508</v>
      </c>
      <c r="X381" s="5" t="s">
        <v>1509</v>
      </c>
      <c r="Z381" s="5">
        <v>1125.0</v>
      </c>
      <c r="AA381" s="5" t="s">
        <v>1979</v>
      </c>
      <c r="AB381" s="5">
        <v>375.0</v>
      </c>
      <c r="AC381" s="5" t="s">
        <v>1510</v>
      </c>
      <c r="AE381" s="5">
        <v>4060.0</v>
      </c>
      <c r="AF381" s="36">
        <v>46097.13822079861</v>
      </c>
    </row>
    <row r="382" ht="22.5" hidden="1" customHeight="1">
      <c r="A382" s="5" t="s">
        <v>1989</v>
      </c>
      <c r="B382" s="5" t="s">
        <v>1506</v>
      </c>
      <c r="C382" s="5" t="s">
        <v>1033</v>
      </c>
      <c r="D382" s="5" t="s">
        <v>14</v>
      </c>
      <c r="E382" s="5">
        <v>9.82495481E9</v>
      </c>
      <c r="F382" s="5" t="s">
        <v>1034</v>
      </c>
      <c r="H382" s="35">
        <v>37635.0</v>
      </c>
      <c r="I382" s="5" t="s">
        <v>156</v>
      </c>
      <c r="J382" s="5" t="s">
        <v>42</v>
      </c>
      <c r="K382" s="5" t="b">
        <v>0</v>
      </c>
      <c r="L382" s="5" t="b">
        <v>0</v>
      </c>
      <c r="N382" s="5">
        <v>7500.0</v>
      </c>
      <c r="O382" s="5">
        <v>0.0</v>
      </c>
      <c r="P382" s="5">
        <v>0.0</v>
      </c>
      <c r="R382" s="5" t="b">
        <v>0</v>
      </c>
      <c r="U382" s="5" t="s">
        <v>1519</v>
      </c>
      <c r="V382" s="5" t="s">
        <v>1508</v>
      </c>
      <c r="W382" s="5" t="s">
        <v>1508</v>
      </c>
      <c r="X382" s="5" t="s">
        <v>1509</v>
      </c>
      <c r="Z382" s="5">
        <v>5625.0</v>
      </c>
      <c r="AA382" s="5" t="s">
        <v>955</v>
      </c>
      <c r="AB382" s="5">
        <v>1875.0</v>
      </c>
      <c r="AC382" s="5" t="s">
        <v>1510</v>
      </c>
      <c r="AE382" s="5">
        <v>2036.0</v>
      </c>
      <c r="AF382" s="36">
        <v>46097.12682961806</v>
      </c>
      <c r="AG382" s="5" t="s">
        <v>1990</v>
      </c>
    </row>
    <row r="383" ht="22.5" hidden="1" customHeight="1">
      <c r="A383" s="5" t="s">
        <v>1991</v>
      </c>
      <c r="B383" s="5" t="s">
        <v>1506</v>
      </c>
      <c r="C383" s="5" t="s">
        <v>724</v>
      </c>
      <c r="D383" s="5" t="s">
        <v>14</v>
      </c>
      <c r="E383" s="25" t="s">
        <v>725</v>
      </c>
      <c r="F383" s="5" t="s">
        <v>726</v>
      </c>
      <c r="G383" s="5">
        <v>7189370.0</v>
      </c>
      <c r="H383" s="35">
        <v>35781.0</v>
      </c>
      <c r="I383" s="5" t="s">
        <v>156</v>
      </c>
      <c r="J383" s="5" t="s">
        <v>39</v>
      </c>
      <c r="K383" s="5" t="b">
        <v>0</v>
      </c>
      <c r="L383" s="5" t="b">
        <v>0</v>
      </c>
      <c r="N383" s="5">
        <v>3000.0</v>
      </c>
      <c r="O383" s="5">
        <v>0.0</v>
      </c>
      <c r="P383" s="5">
        <v>0.0</v>
      </c>
      <c r="R383" s="5" t="b">
        <v>0</v>
      </c>
      <c r="U383" s="5" t="s">
        <v>1519</v>
      </c>
      <c r="V383" s="5" t="s">
        <v>1508</v>
      </c>
      <c r="W383" s="5" t="s">
        <v>1508</v>
      </c>
      <c r="X383" s="5" t="s">
        <v>1509</v>
      </c>
      <c r="Z383" s="5">
        <v>2250.0</v>
      </c>
      <c r="AA383" s="5" t="s">
        <v>1979</v>
      </c>
      <c r="AB383" s="5">
        <v>750.0</v>
      </c>
      <c r="AC383" s="5" t="s">
        <v>1510</v>
      </c>
      <c r="AE383" s="5">
        <v>3062.0</v>
      </c>
      <c r="AF383" s="36">
        <v>46097.07356716435</v>
      </c>
      <c r="AG383" s="5" t="s">
        <v>1992</v>
      </c>
    </row>
    <row r="384" ht="22.5" customHeight="1">
      <c r="A384" s="5" t="s">
        <v>1993</v>
      </c>
      <c r="B384" s="5" t="s">
        <v>1506</v>
      </c>
      <c r="C384" s="5" t="s">
        <v>120</v>
      </c>
      <c r="D384" s="5" t="s">
        <v>14</v>
      </c>
      <c r="E384" s="5">
        <v>9.861549962E9</v>
      </c>
      <c r="F384" s="5" t="s">
        <v>121</v>
      </c>
      <c r="H384" s="35">
        <v>37337.0</v>
      </c>
      <c r="I384" s="5" t="s">
        <v>16</v>
      </c>
      <c r="J384" s="5" t="s">
        <v>17</v>
      </c>
      <c r="K384" s="5" t="b">
        <v>0</v>
      </c>
      <c r="L384" s="5" t="b">
        <v>0</v>
      </c>
      <c r="N384" s="5">
        <v>1500.0</v>
      </c>
      <c r="O384" s="5">
        <v>0.0</v>
      </c>
      <c r="P384" s="5">
        <v>0.0</v>
      </c>
      <c r="R384" s="5" t="b">
        <v>0</v>
      </c>
      <c r="U384" s="5" t="s">
        <v>1519</v>
      </c>
      <c r="V384" s="5" t="s">
        <v>1508</v>
      </c>
      <c r="W384" s="5" t="s">
        <v>1508</v>
      </c>
      <c r="X384" s="5" t="s">
        <v>1509</v>
      </c>
      <c r="Z384" s="5">
        <v>1125.0</v>
      </c>
      <c r="AA384" s="5" t="s">
        <v>1979</v>
      </c>
      <c r="AB384" s="5">
        <v>375.0</v>
      </c>
      <c r="AC384" s="5" t="s">
        <v>1510</v>
      </c>
      <c r="AE384" s="5">
        <v>4059.0</v>
      </c>
      <c r="AF384" s="36">
        <v>46096.743555960646</v>
      </c>
    </row>
    <row r="385" ht="22.5" hidden="1" customHeight="1">
      <c r="A385" s="5" t="s">
        <v>1994</v>
      </c>
      <c r="B385" s="5" t="s">
        <v>1506</v>
      </c>
      <c r="C385" s="5" t="s">
        <v>1995</v>
      </c>
      <c r="D385" s="5" t="s">
        <v>14</v>
      </c>
      <c r="E385" s="5">
        <v>9.86032347E9</v>
      </c>
      <c r="F385" s="5" t="s">
        <v>1036</v>
      </c>
      <c r="G385" s="5">
        <v>7167725.0</v>
      </c>
      <c r="H385" s="35">
        <v>37786.0</v>
      </c>
      <c r="I385" s="5" t="s">
        <v>156</v>
      </c>
      <c r="J385" s="5" t="s">
        <v>42</v>
      </c>
      <c r="K385" s="5" t="b">
        <v>0</v>
      </c>
      <c r="L385" s="5" t="b">
        <v>0</v>
      </c>
      <c r="N385" s="5">
        <v>7500.0</v>
      </c>
      <c r="O385" s="5">
        <v>0.0</v>
      </c>
      <c r="P385" s="5">
        <v>0.0</v>
      </c>
      <c r="R385" s="5" t="b">
        <v>0</v>
      </c>
      <c r="U385" s="5" t="s">
        <v>1514</v>
      </c>
      <c r="V385" s="5" t="s">
        <v>1508</v>
      </c>
      <c r="W385" s="5" t="s">
        <v>1548</v>
      </c>
      <c r="X385" s="5" t="s">
        <v>1509</v>
      </c>
      <c r="Z385" s="5">
        <v>5625.0</v>
      </c>
      <c r="AA385" s="5" t="s">
        <v>1979</v>
      </c>
      <c r="AB385" s="5">
        <v>1875.0</v>
      </c>
      <c r="AC385" s="5" t="s">
        <v>1510</v>
      </c>
      <c r="AE385" s="5">
        <v>2075.0</v>
      </c>
      <c r="AF385" s="36">
        <v>46096.706075497685</v>
      </c>
      <c r="AG385" s="5" t="s">
        <v>1549</v>
      </c>
    </row>
    <row r="386" ht="22.5" hidden="1" customHeight="1">
      <c r="A386" s="5" t="s">
        <v>1996</v>
      </c>
      <c r="B386" s="5" t="s">
        <v>1506</v>
      </c>
      <c r="C386" s="5" t="s">
        <v>727</v>
      </c>
      <c r="D386" s="5" t="s">
        <v>14</v>
      </c>
      <c r="E386" s="5">
        <v>9.843085838E9</v>
      </c>
      <c r="F386" s="5" t="s">
        <v>728</v>
      </c>
      <c r="G386" s="5">
        <v>6079136.0</v>
      </c>
      <c r="H386" s="35">
        <v>32541.0</v>
      </c>
      <c r="I386" s="5" t="s">
        <v>156</v>
      </c>
      <c r="J386" s="5" t="s">
        <v>39</v>
      </c>
      <c r="K386" s="5" t="b">
        <v>0</v>
      </c>
      <c r="L386" s="5" t="b">
        <v>0</v>
      </c>
      <c r="N386" s="5">
        <v>3000.0</v>
      </c>
      <c r="O386" s="5">
        <v>0.0</v>
      </c>
      <c r="P386" s="5">
        <v>0.0</v>
      </c>
      <c r="R386" s="5" t="b">
        <v>0</v>
      </c>
      <c r="U386" s="5" t="s">
        <v>1519</v>
      </c>
      <c r="V386" s="5" t="s">
        <v>1508</v>
      </c>
      <c r="W386" s="5" t="s">
        <v>1508</v>
      </c>
      <c r="X386" s="5" t="s">
        <v>1509</v>
      </c>
      <c r="Z386" s="5">
        <v>2250.0</v>
      </c>
      <c r="AA386" s="5" t="s">
        <v>1979</v>
      </c>
      <c r="AB386" s="5">
        <v>750.0</v>
      </c>
      <c r="AC386" s="5" t="s">
        <v>1510</v>
      </c>
      <c r="AE386" s="5">
        <v>3061.0</v>
      </c>
      <c r="AF386" s="36">
        <v>46096.702758611114</v>
      </c>
      <c r="AG386" s="5" t="s">
        <v>1997</v>
      </c>
    </row>
    <row r="387" ht="22.5" hidden="1" customHeight="1">
      <c r="A387" s="5" t="s">
        <v>1998</v>
      </c>
      <c r="B387" s="5" t="s">
        <v>1506</v>
      </c>
      <c r="C387" s="5" t="s">
        <v>1037</v>
      </c>
      <c r="D387" s="5" t="s">
        <v>14</v>
      </c>
      <c r="E387" s="5">
        <v>9.843450074E9</v>
      </c>
      <c r="F387" s="5" t="s">
        <v>1038</v>
      </c>
      <c r="H387" s="35">
        <v>35990.0</v>
      </c>
      <c r="I387" s="5" t="s">
        <v>156</v>
      </c>
      <c r="J387" s="5" t="s">
        <v>42</v>
      </c>
      <c r="K387" s="5" t="b">
        <v>0</v>
      </c>
      <c r="L387" s="5" t="b">
        <v>0</v>
      </c>
      <c r="N387" s="5">
        <v>7500.0</v>
      </c>
      <c r="O387" s="5">
        <v>0.0</v>
      </c>
      <c r="P387" s="5">
        <v>0.0</v>
      </c>
      <c r="R387" s="5" t="b">
        <v>0</v>
      </c>
      <c r="U387" s="5" t="s">
        <v>1517</v>
      </c>
      <c r="V387" s="5" t="s">
        <v>1508</v>
      </c>
      <c r="W387" s="5" t="s">
        <v>1548</v>
      </c>
      <c r="X387" s="5" t="s">
        <v>1509</v>
      </c>
      <c r="Z387" s="5">
        <v>5625.0</v>
      </c>
      <c r="AA387" s="5" t="s">
        <v>1979</v>
      </c>
      <c r="AB387" s="5">
        <v>1875.0</v>
      </c>
      <c r="AC387" s="5" t="s">
        <v>1510</v>
      </c>
      <c r="AE387" s="5">
        <v>2074.0</v>
      </c>
      <c r="AF387" s="36">
        <v>46096.68718331018</v>
      </c>
      <c r="AG387" s="5" t="s">
        <v>1549</v>
      </c>
    </row>
    <row r="388" ht="22.5" hidden="1" customHeight="1">
      <c r="A388" s="5" t="s">
        <v>1999</v>
      </c>
      <c r="B388" s="5" t="s">
        <v>1506</v>
      </c>
      <c r="C388" s="5" t="s">
        <v>1412</v>
      </c>
      <c r="D388" s="5" t="s">
        <v>14</v>
      </c>
      <c r="E388" s="5">
        <v>9.84380505E9</v>
      </c>
      <c r="F388" s="5" t="s">
        <v>1413</v>
      </c>
      <c r="H388" s="35">
        <v>37301.0</v>
      </c>
      <c r="I388" s="5" t="s">
        <v>156</v>
      </c>
      <c r="J388" s="5" t="s">
        <v>46</v>
      </c>
      <c r="K388" s="5" t="b">
        <v>0</v>
      </c>
      <c r="L388" s="5" t="b">
        <v>0</v>
      </c>
      <c r="N388" s="5">
        <v>9000.0</v>
      </c>
      <c r="O388" s="5">
        <v>0.0</v>
      </c>
      <c r="P388" s="5">
        <v>0.0</v>
      </c>
      <c r="R388" s="5" t="b">
        <v>0</v>
      </c>
      <c r="U388" s="5" t="s">
        <v>1514</v>
      </c>
      <c r="V388" s="5" t="s">
        <v>1508</v>
      </c>
      <c r="W388" s="5" t="s">
        <v>1548</v>
      </c>
      <c r="X388" s="5" t="s">
        <v>1509</v>
      </c>
      <c r="Z388" s="5">
        <v>6750.0</v>
      </c>
      <c r="AA388" s="5" t="s">
        <v>1979</v>
      </c>
      <c r="AB388" s="5">
        <v>2250.0</v>
      </c>
      <c r="AC388" s="5" t="s">
        <v>1510</v>
      </c>
      <c r="AE388" s="5">
        <v>1523.0</v>
      </c>
      <c r="AF388" s="36">
        <v>46096.686151712966</v>
      </c>
      <c r="AG388" s="5" t="s">
        <v>1549</v>
      </c>
    </row>
    <row r="389" ht="22.5" hidden="1" customHeight="1">
      <c r="A389" s="5" t="s">
        <v>2000</v>
      </c>
      <c r="B389" s="5" t="s">
        <v>1506</v>
      </c>
      <c r="C389" s="5" t="s">
        <v>1414</v>
      </c>
      <c r="D389" s="5" t="s">
        <v>14</v>
      </c>
      <c r="E389" s="25" t="s">
        <v>1415</v>
      </c>
      <c r="F389" s="5" t="s">
        <v>1416</v>
      </c>
      <c r="G389" s="5">
        <v>7167047.0</v>
      </c>
      <c r="H389" s="35">
        <v>34964.0</v>
      </c>
      <c r="I389" s="5" t="s">
        <v>156</v>
      </c>
      <c r="J389" s="5" t="s">
        <v>46</v>
      </c>
      <c r="K389" s="5" t="b">
        <v>0</v>
      </c>
      <c r="L389" s="5" t="b">
        <v>0</v>
      </c>
      <c r="N389" s="5">
        <v>9000.0</v>
      </c>
      <c r="O389" s="5">
        <v>0.0</v>
      </c>
      <c r="P389" s="5">
        <v>0.0</v>
      </c>
      <c r="R389" s="5" t="b">
        <v>0</v>
      </c>
      <c r="U389" s="5" t="s">
        <v>1517</v>
      </c>
      <c r="V389" s="5" t="s">
        <v>1508</v>
      </c>
      <c r="W389" s="5" t="s">
        <v>1508</v>
      </c>
      <c r="X389" s="5" t="s">
        <v>1509</v>
      </c>
      <c r="Z389" s="5">
        <v>6750.0</v>
      </c>
      <c r="AA389" s="5" t="s">
        <v>1979</v>
      </c>
      <c r="AB389" s="5">
        <v>2250.0</v>
      </c>
      <c r="AC389" s="5" t="s">
        <v>1510</v>
      </c>
      <c r="AE389" s="5">
        <v>1522.0</v>
      </c>
      <c r="AF389" s="36">
        <v>46096.684438923614</v>
      </c>
    </row>
    <row r="390" ht="22.5" hidden="1" customHeight="1">
      <c r="A390" s="5" t="s">
        <v>2001</v>
      </c>
      <c r="B390" s="5" t="s">
        <v>1506</v>
      </c>
      <c r="C390" s="5" t="s">
        <v>1039</v>
      </c>
      <c r="D390" s="5" t="s">
        <v>14</v>
      </c>
      <c r="E390" s="5">
        <v>9.841376975E9</v>
      </c>
      <c r="F390" s="5" t="s">
        <v>1040</v>
      </c>
      <c r="G390" s="5">
        <v>6992459.0</v>
      </c>
      <c r="H390" s="35">
        <v>34130.0</v>
      </c>
      <c r="I390" s="5" t="s">
        <v>156</v>
      </c>
      <c r="J390" s="5" t="s">
        <v>42</v>
      </c>
      <c r="K390" s="5" t="b">
        <v>0</v>
      </c>
      <c r="L390" s="5" t="b">
        <v>0</v>
      </c>
      <c r="N390" s="5">
        <v>7500.0</v>
      </c>
      <c r="O390" s="5">
        <v>0.0</v>
      </c>
      <c r="P390" s="5">
        <v>0.0</v>
      </c>
      <c r="R390" s="5" t="b">
        <v>0</v>
      </c>
      <c r="U390" s="5" t="s">
        <v>1519</v>
      </c>
      <c r="V390" s="5" t="s">
        <v>1508</v>
      </c>
      <c r="W390" s="5" t="s">
        <v>1508</v>
      </c>
      <c r="X390" s="5" t="s">
        <v>1509</v>
      </c>
      <c r="Z390" s="5">
        <v>5625.0</v>
      </c>
      <c r="AA390" s="5" t="s">
        <v>1979</v>
      </c>
      <c r="AB390" s="5">
        <v>1875.0</v>
      </c>
      <c r="AC390" s="5" t="s">
        <v>1510</v>
      </c>
      <c r="AE390" s="5">
        <v>2073.0</v>
      </c>
      <c r="AF390" s="36">
        <v>46096.66442824074</v>
      </c>
    </row>
    <row r="391" ht="22.5" customHeight="1">
      <c r="A391" s="5" t="s">
        <v>2002</v>
      </c>
      <c r="B391" s="5" t="s">
        <v>1506</v>
      </c>
      <c r="C391" s="5" t="s">
        <v>330</v>
      </c>
      <c r="D391" s="5" t="s">
        <v>14</v>
      </c>
      <c r="E391" s="5">
        <v>9.809641004E9</v>
      </c>
      <c r="F391" s="5" t="s">
        <v>331</v>
      </c>
      <c r="H391" s="35">
        <v>34752.0</v>
      </c>
      <c r="I391" s="5" t="s">
        <v>156</v>
      </c>
      <c r="J391" s="5" t="s">
        <v>17</v>
      </c>
      <c r="K391" s="5" t="b">
        <v>0</v>
      </c>
      <c r="L391" s="5" t="b">
        <v>0</v>
      </c>
      <c r="N391" s="5">
        <v>1500.0</v>
      </c>
      <c r="O391" s="5">
        <v>0.0</v>
      </c>
      <c r="P391" s="5">
        <v>0.0</v>
      </c>
      <c r="R391" s="5" t="b">
        <v>0</v>
      </c>
      <c r="U391" s="5" t="s">
        <v>1517</v>
      </c>
      <c r="V391" s="5" t="s">
        <v>1508</v>
      </c>
      <c r="W391" s="5" t="s">
        <v>1508</v>
      </c>
      <c r="X391" s="5" t="s">
        <v>1509</v>
      </c>
      <c r="Z391" s="5">
        <v>1200.0</v>
      </c>
      <c r="AA391" s="5" t="s">
        <v>1515</v>
      </c>
      <c r="AB391" s="5">
        <v>300.0</v>
      </c>
      <c r="AC391" s="5" t="s">
        <v>1510</v>
      </c>
      <c r="AE391" s="5">
        <v>4058.0</v>
      </c>
      <c r="AF391" s="36">
        <v>46096.641632025465</v>
      </c>
    </row>
    <row r="392" ht="22.5" hidden="1" customHeight="1">
      <c r="A392" s="5" t="s">
        <v>2003</v>
      </c>
      <c r="B392" s="5" t="s">
        <v>1506</v>
      </c>
      <c r="C392" s="5" t="s">
        <v>1041</v>
      </c>
      <c r="D392" s="5" t="s">
        <v>14</v>
      </c>
      <c r="E392" s="25" t="s">
        <v>1042</v>
      </c>
      <c r="F392" s="5" t="s">
        <v>1043</v>
      </c>
      <c r="G392" s="5">
        <v>6336589.0</v>
      </c>
      <c r="H392" s="35">
        <v>30126.0</v>
      </c>
      <c r="I392" s="5" t="s">
        <v>156</v>
      </c>
      <c r="J392" s="5" t="s">
        <v>42</v>
      </c>
      <c r="K392" s="5" t="b">
        <v>0</v>
      </c>
      <c r="L392" s="5" t="b">
        <v>0</v>
      </c>
      <c r="N392" s="5">
        <v>7500.0</v>
      </c>
      <c r="O392" s="5">
        <v>0.0</v>
      </c>
      <c r="P392" s="5">
        <v>0.0</v>
      </c>
      <c r="R392" s="5" t="b">
        <v>0</v>
      </c>
      <c r="U392" s="5" t="s">
        <v>1517</v>
      </c>
      <c r="V392" s="5" t="s">
        <v>1508</v>
      </c>
      <c r="W392" s="5" t="s">
        <v>1508</v>
      </c>
      <c r="X392" s="5" t="s">
        <v>1509</v>
      </c>
      <c r="Z392" s="5">
        <v>5625.0</v>
      </c>
      <c r="AA392" s="5" t="s">
        <v>1979</v>
      </c>
      <c r="AB392" s="5">
        <v>1875.0</v>
      </c>
      <c r="AC392" s="5" t="s">
        <v>1510</v>
      </c>
      <c r="AE392" s="5">
        <v>2072.0</v>
      </c>
      <c r="AF392" s="36">
        <v>46096.5996540162</v>
      </c>
    </row>
    <row r="393" ht="22.5" hidden="1" customHeight="1">
      <c r="A393" s="5" t="s">
        <v>2004</v>
      </c>
      <c r="B393" s="5" t="s">
        <v>1506</v>
      </c>
      <c r="C393" s="5" t="s">
        <v>1255</v>
      </c>
      <c r="D393" s="5" t="s">
        <v>14</v>
      </c>
      <c r="E393" s="5">
        <v>9.801150478E9</v>
      </c>
      <c r="F393" s="5" t="s">
        <v>1256</v>
      </c>
      <c r="G393" s="5">
        <v>3574679.0</v>
      </c>
      <c r="H393" s="35">
        <v>28785.0</v>
      </c>
      <c r="I393" s="5" t="s">
        <v>156</v>
      </c>
      <c r="J393" s="5" t="s">
        <v>36</v>
      </c>
      <c r="K393" s="5" t="b">
        <v>0</v>
      </c>
      <c r="L393" s="5" t="b">
        <v>0</v>
      </c>
      <c r="N393" s="5">
        <v>12000.0</v>
      </c>
      <c r="O393" s="5">
        <v>0.0</v>
      </c>
      <c r="P393" s="5">
        <v>0.0</v>
      </c>
      <c r="R393" s="5" t="b">
        <v>0</v>
      </c>
      <c r="U393" s="5" t="s">
        <v>1519</v>
      </c>
      <c r="V393" s="5" t="s">
        <v>1508</v>
      </c>
      <c r="W393" s="5" t="s">
        <v>1508</v>
      </c>
      <c r="X393" s="5" t="s">
        <v>1509</v>
      </c>
      <c r="Z393" s="5">
        <v>9000.0</v>
      </c>
      <c r="AA393" s="5" t="s">
        <v>1979</v>
      </c>
      <c r="AB393" s="5">
        <v>3000.0</v>
      </c>
      <c r="AC393" s="5" t="s">
        <v>1510</v>
      </c>
      <c r="AD393" s="5" t="s">
        <v>1511</v>
      </c>
      <c r="AE393" s="5">
        <v>1043.0</v>
      </c>
      <c r="AF393" s="36">
        <v>46096.591690520836</v>
      </c>
    </row>
    <row r="394" ht="22.5" hidden="1" customHeight="1">
      <c r="A394" s="5" t="s">
        <v>2005</v>
      </c>
      <c r="B394" s="5" t="s">
        <v>1506</v>
      </c>
      <c r="C394" s="5" t="s">
        <v>1377</v>
      </c>
      <c r="D394" s="5" t="s">
        <v>147</v>
      </c>
      <c r="E394" s="5">
        <v>9.808384545E9</v>
      </c>
      <c r="F394" s="5" t="s">
        <v>1378</v>
      </c>
      <c r="G394" s="5">
        <v>5030137.0</v>
      </c>
      <c r="H394" s="35">
        <v>34818.0</v>
      </c>
      <c r="I394" s="5" t="s">
        <v>16</v>
      </c>
      <c r="J394" s="5" t="s">
        <v>46</v>
      </c>
      <c r="K394" s="5" t="b">
        <v>0</v>
      </c>
      <c r="L394" s="5" t="b">
        <v>0</v>
      </c>
      <c r="N394" s="5">
        <v>120.0</v>
      </c>
      <c r="O394" s="5">
        <v>0.0</v>
      </c>
      <c r="P394" s="5">
        <v>0.0</v>
      </c>
      <c r="R394" s="5" t="b">
        <v>0</v>
      </c>
      <c r="U394" s="5" t="s">
        <v>1519</v>
      </c>
      <c r="V394" s="5" t="s">
        <v>1508</v>
      </c>
      <c r="W394" s="5" t="s">
        <v>1508</v>
      </c>
      <c r="X394" s="5" t="s">
        <v>1509</v>
      </c>
      <c r="Z394" s="5">
        <v>90.0</v>
      </c>
      <c r="AA394" s="5" t="s">
        <v>1979</v>
      </c>
      <c r="AB394" s="5">
        <v>30.0</v>
      </c>
      <c r="AC394" s="5" t="s">
        <v>1546</v>
      </c>
      <c r="AD394" s="5" t="s">
        <v>1511</v>
      </c>
      <c r="AE394" s="5">
        <v>1513.0</v>
      </c>
      <c r="AF394" s="36">
        <v>46096.58325216435</v>
      </c>
    </row>
    <row r="395" ht="22.5" hidden="1" customHeight="1">
      <c r="A395" s="5" t="s">
        <v>2006</v>
      </c>
      <c r="B395" s="5" t="s">
        <v>1506</v>
      </c>
      <c r="C395" s="5" t="s">
        <v>1417</v>
      </c>
      <c r="D395" s="5" t="s">
        <v>14</v>
      </c>
      <c r="E395" s="5">
        <v>9.869942698E9</v>
      </c>
      <c r="F395" s="5" t="s">
        <v>1418</v>
      </c>
      <c r="G395" s="5">
        <v>6810322.0</v>
      </c>
      <c r="H395" s="35">
        <v>33608.0</v>
      </c>
      <c r="I395" s="5" t="s">
        <v>156</v>
      </c>
      <c r="J395" s="5" t="s">
        <v>46</v>
      </c>
      <c r="K395" s="5" t="b">
        <v>0</v>
      </c>
      <c r="L395" s="5" t="b">
        <v>0</v>
      </c>
      <c r="N395" s="5">
        <v>9000.0</v>
      </c>
      <c r="O395" s="5">
        <v>0.0</v>
      </c>
      <c r="P395" s="5">
        <v>0.0</v>
      </c>
      <c r="R395" s="5" t="b">
        <v>0</v>
      </c>
      <c r="U395" s="5" t="s">
        <v>1519</v>
      </c>
      <c r="V395" s="5" t="s">
        <v>1508</v>
      </c>
      <c r="W395" s="5" t="s">
        <v>1508</v>
      </c>
      <c r="X395" s="5" t="s">
        <v>1509</v>
      </c>
      <c r="Z395" s="5">
        <v>6750.0</v>
      </c>
      <c r="AA395" s="5" t="s">
        <v>1556</v>
      </c>
      <c r="AB395" s="5">
        <v>2250.0</v>
      </c>
      <c r="AC395" s="5" t="s">
        <v>1510</v>
      </c>
      <c r="AE395" s="5">
        <v>1521.0</v>
      </c>
      <c r="AF395" s="36">
        <v>46096.564829965275</v>
      </c>
    </row>
    <row r="396" ht="22.5" hidden="1" customHeight="1">
      <c r="A396" s="5" t="s">
        <v>2007</v>
      </c>
      <c r="B396" s="5" t="s">
        <v>1506</v>
      </c>
      <c r="C396" s="5" t="s">
        <v>729</v>
      </c>
      <c r="D396" s="5" t="s">
        <v>14</v>
      </c>
      <c r="E396" s="5">
        <v>9.840539844E9</v>
      </c>
      <c r="F396" s="5" t="s">
        <v>730</v>
      </c>
      <c r="H396" s="35">
        <v>38273.0</v>
      </c>
      <c r="I396" s="5" t="s">
        <v>156</v>
      </c>
      <c r="J396" s="5" t="s">
        <v>39</v>
      </c>
      <c r="K396" s="5" t="b">
        <v>0</v>
      </c>
      <c r="L396" s="5" t="b">
        <v>0</v>
      </c>
      <c r="N396" s="5">
        <v>3000.0</v>
      </c>
      <c r="O396" s="5">
        <v>0.0</v>
      </c>
      <c r="P396" s="5">
        <v>0.0</v>
      </c>
      <c r="R396" s="5" t="b">
        <v>0</v>
      </c>
      <c r="U396" s="5" t="s">
        <v>1517</v>
      </c>
      <c r="V396" s="5" t="s">
        <v>1508</v>
      </c>
      <c r="W396" s="5" t="s">
        <v>1508</v>
      </c>
      <c r="X396" s="5" t="s">
        <v>1509</v>
      </c>
      <c r="Z396" s="5">
        <v>2250.0</v>
      </c>
      <c r="AA396" s="5" t="s">
        <v>1979</v>
      </c>
      <c r="AB396" s="5">
        <v>750.0</v>
      </c>
      <c r="AC396" s="5" t="s">
        <v>1510</v>
      </c>
      <c r="AE396" s="5">
        <v>3060.0</v>
      </c>
      <c r="AF396" s="36">
        <v>46096.51540962963</v>
      </c>
    </row>
    <row r="397" ht="22.5" hidden="1" customHeight="1">
      <c r="A397" s="5" t="s">
        <v>2008</v>
      </c>
      <c r="B397" s="5" t="s">
        <v>1506</v>
      </c>
      <c r="C397" s="5" t="s">
        <v>731</v>
      </c>
      <c r="D397" s="5" t="s">
        <v>14</v>
      </c>
      <c r="E397" s="25" t="s">
        <v>732</v>
      </c>
      <c r="F397" s="5" t="s">
        <v>733</v>
      </c>
      <c r="H397" s="35">
        <v>29747.0</v>
      </c>
      <c r="I397" s="5" t="s">
        <v>156</v>
      </c>
      <c r="J397" s="5" t="s">
        <v>39</v>
      </c>
      <c r="K397" s="5" t="b">
        <v>0</v>
      </c>
      <c r="L397" s="5" t="b">
        <v>0</v>
      </c>
      <c r="N397" s="5">
        <v>3000.0</v>
      </c>
      <c r="O397" s="5">
        <v>0.0</v>
      </c>
      <c r="P397" s="5">
        <v>0.0</v>
      </c>
      <c r="R397" s="5" t="b">
        <v>0</v>
      </c>
      <c r="U397" s="5" t="s">
        <v>1514</v>
      </c>
      <c r="V397" s="5" t="s">
        <v>1508</v>
      </c>
      <c r="W397" s="5" t="s">
        <v>1508</v>
      </c>
      <c r="X397" s="5" t="s">
        <v>1509</v>
      </c>
      <c r="Z397" s="5">
        <v>2250.0</v>
      </c>
      <c r="AA397" s="5" t="s">
        <v>1979</v>
      </c>
      <c r="AB397" s="5">
        <v>750.0</v>
      </c>
      <c r="AC397" s="5" t="s">
        <v>1510</v>
      </c>
      <c r="AE397" s="5">
        <v>3059.0</v>
      </c>
      <c r="AF397" s="36">
        <v>46096.49737118056</v>
      </c>
    </row>
    <row r="398" ht="22.5" hidden="1" customHeight="1">
      <c r="A398" s="5" t="s">
        <v>2009</v>
      </c>
      <c r="B398" s="5" t="s">
        <v>1506</v>
      </c>
      <c r="C398" s="5" t="s">
        <v>734</v>
      </c>
      <c r="D398" s="5" t="s">
        <v>14</v>
      </c>
      <c r="E398" s="25" t="s">
        <v>735</v>
      </c>
      <c r="F398" s="5" t="s">
        <v>736</v>
      </c>
      <c r="H398" s="35">
        <v>34345.0</v>
      </c>
      <c r="I398" s="5" t="s">
        <v>156</v>
      </c>
      <c r="J398" s="5" t="s">
        <v>39</v>
      </c>
      <c r="K398" s="5" t="b">
        <v>0</v>
      </c>
      <c r="L398" s="5" t="b">
        <v>0</v>
      </c>
      <c r="N398" s="5">
        <v>3000.0</v>
      </c>
      <c r="O398" s="5">
        <v>0.0</v>
      </c>
      <c r="P398" s="5">
        <v>0.0</v>
      </c>
      <c r="R398" s="5" t="b">
        <v>0</v>
      </c>
      <c r="U398" s="5" t="s">
        <v>1519</v>
      </c>
      <c r="V398" s="5" t="s">
        <v>1508</v>
      </c>
      <c r="W398" s="5" t="s">
        <v>1508</v>
      </c>
      <c r="X398" s="5" t="s">
        <v>1509</v>
      </c>
      <c r="Z398" s="5">
        <v>2250.0</v>
      </c>
      <c r="AA398" s="5" t="s">
        <v>1979</v>
      </c>
      <c r="AB398" s="5">
        <v>750.0</v>
      </c>
      <c r="AC398" s="5" t="s">
        <v>1510</v>
      </c>
      <c r="AE398" s="5">
        <v>3058.0</v>
      </c>
      <c r="AF398" s="36">
        <v>46096.47459820602</v>
      </c>
    </row>
    <row r="399" ht="22.5" hidden="1" customHeight="1">
      <c r="A399" s="5" t="s">
        <v>2010</v>
      </c>
      <c r="B399" s="5" t="s">
        <v>1506</v>
      </c>
      <c r="C399" s="5" t="s">
        <v>737</v>
      </c>
      <c r="D399" s="5" t="s">
        <v>14</v>
      </c>
      <c r="E399" s="5">
        <v>9.861965633E9</v>
      </c>
      <c r="F399" s="5" t="s">
        <v>738</v>
      </c>
      <c r="G399" s="5">
        <v>7086610.0</v>
      </c>
      <c r="H399" s="35">
        <v>29245.0</v>
      </c>
      <c r="I399" s="5" t="s">
        <v>156</v>
      </c>
      <c r="J399" s="5" t="s">
        <v>39</v>
      </c>
      <c r="K399" s="5" t="b">
        <v>0</v>
      </c>
      <c r="L399" s="5" t="b">
        <v>0</v>
      </c>
      <c r="N399" s="5">
        <v>3000.0</v>
      </c>
      <c r="O399" s="5">
        <v>0.0</v>
      </c>
      <c r="P399" s="5">
        <v>0.0</v>
      </c>
      <c r="R399" s="5" t="b">
        <v>0</v>
      </c>
      <c r="U399" s="5" t="s">
        <v>1517</v>
      </c>
      <c r="V399" s="5" t="s">
        <v>1508</v>
      </c>
      <c r="W399" s="5" t="s">
        <v>1508</v>
      </c>
      <c r="X399" s="5" t="s">
        <v>1509</v>
      </c>
      <c r="Z399" s="5">
        <v>2250.0</v>
      </c>
      <c r="AA399" s="5" t="s">
        <v>1979</v>
      </c>
      <c r="AB399" s="5">
        <v>750.0</v>
      </c>
      <c r="AC399" s="5" t="s">
        <v>1510</v>
      </c>
      <c r="AE399" s="5">
        <v>3057.0</v>
      </c>
      <c r="AF399" s="36">
        <v>46096.45148920139</v>
      </c>
    </row>
    <row r="400" ht="22.5" hidden="1" customHeight="1">
      <c r="A400" s="5" t="s">
        <v>2011</v>
      </c>
      <c r="B400" s="5" t="s">
        <v>1506</v>
      </c>
      <c r="C400" s="5" t="s">
        <v>2012</v>
      </c>
      <c r="D400" s="5" t="s">
        <v>14</v>
      </c>
      <c r="E400" s="25" t="s">
        <v>740</v>
      </c>
      <c r="F400" s="5" t="s">
        <v>741</v>
      </c>
      <c r="G400" s="5">
        <v>6059235.0</v>
      </c>
      <c r="H400" s="35">
        <v>33260.0</v>
      </c>
      <c r="I400" s="5" t="s">
        <v>156</v>
      </c>
      <c r="J400" s="5" t="s">
        <v>39</v>
      </c>
      <c r="K400" s="5" t="b">
        <v>0</v>
      </c>
      <c r="L400" s="5" t="b">
        <v>0</v>
      </c>
      <c r="N400" s="5">
        <v>3000.0</v>
      </c>
      <c r="O400" s="5">
        <v>0.0</v>
      </c>
      <c r="P400" s="5">
        <v>0.0</v>
      </c>
      <c r="R400" s="5" t="b">
        <v>0</v>
      </c>
      <c r="U400" s="5" t="s">
        <v>1517</v>
      </c>
      <c r="V400" s="5" t="s">
        <v>1508</v>
      </c>
      <c r="W400" s="5" t="s">
        <v>1548</v>
      </c>
      <c r="X400" s="5" t="s">
        <v>1509</v>
      </c>
      <c r="Z400" s="5">
        <v>2250.0</v>
      </c>
      <c r="AA400" s="5" t="s">
        <v>1979</v>
      </c>
      <c r="AB400" s="5">
        <v>750.0</v>
      </c>
      <c r="AC400" s="5" t="s">
        <v>1510</v>
      </c>
      <c r="AE400" s="5">
        <v>3056.0</v>
      </c>
      <c r="AF400" s="36">
        <v>46096.45038137731</v>
      </c>
      <c r="AG400" s="5" t="s">
        <v>1549</v>
      </c>
    </row>
    <row r="401" ht="22.5" hidden="1" customHeight="1">
      <c r="A401" s="5" t="s">
        <v>2013</v>
      </c>
      <c r="B401" s="5" t="s">
        <v>1506</v>
      </c>
      <c r="C401" s="5" t="s">
        <v>1007</v>
      </c>
      <c r="D401" s="5" t="s">
        <v>14</v>
      </c>
      <c r="E401" s="5">
        <v>9.849631562E9</v>
      </c>
      <c r="F401" s="5" t="s">
        <v>1009</v>
      </c>
      <c r="G401" s="5">
        <v>4807930.0</v>
      </c>
      <c r="H401" s="35">
        <v>33709.0</v>
      </c>
      <c r="I401" s="5" t="s">
        <v>156</v>
      </c>
      <c r="J401" s="5" t="s">
        <v>42</v>
      </c>
      <c r="K401" s="5" t="b">
        <v>0</v>
      </c>
      <c r="L401" s="5" t="b">
        <v>0</v>
      </c>
      <c r="N401" s="5">
        <v>7500.0</v>
      </c>
      <c r="O401" s="5">
        <v>0.0</v>
      </c>
      <c r="P401" s="5">
        <v>0.0</v>
      </c>
      <c r="R401" s="5" t="b">
        <v>0</v>
      </c>
      <c r="U401" s="5" t="s">
        <v>1517</v>
      </c>
      <c r="V401" s="5" t="s">
        <v>1508</v>
      </c>
      <c r="W401" s="5" t="s">
        <v>1508</v>
      </c>
      <c r="X401" s="5" t="s">
        <v>1509</v>
      </c>
      <c r="Z401" s="5">
        <v>6000.0</v>
      </c>
      <c r="AA401" s="5" t="s">
        <v>1591</v>
      </c>
      <c r="AB401" s="5">
        <v>1500.0</v>
      </c>
      <c r="AC401" s="5" t="s">
        <v>1510</v>
      </c>
      <c r="AE401" s="5">
        <v>2071.0</v>
      </c>
      <c r="AF401" s="36">
        <v>46096.34912216435</v>
      </c>
    </row>
    <row r="402" ht="22.5" customHeight="1">
      <c r="A402" s="5" t="s">
        <v>2014</v>
      </c>
      <c r="B402" s="5" t="s">
        <v>1506</v>
      </c>
      <c r="C402" s="5" t="s">
        <v>332</v>
      </c>
      <c r="D402" s="5" t="s">
        <v>14</v>
      </c>
      <c r="E402" s="5">
        <v>9.85108565E9</v>
      </c>
      <c r="F402" s="5" t="s">
        <v>333</v>
      </c>
      <c r="G402" s="5">
        <v>6348612.0</v>
      </c>
      <c r="H402" s="35">
        <v>27852.0</v>
      </c>
      <c r="I402" s="5" t="s">
        <v>156</v>
      </c>
      <c r="J402" s="5" t="s">
        <v>17</v>
      </c>
      <c r="K402" s="5" t="b">
        <v>0</v>
      </c>
      <c r="L402" s="5" t="b">
        <v>0</v>
      </c>
      <c r="N402" s="5">
        <v>3000.0</v>
      </c>
      <c r="O402" s="5">
        <v>0.0</v>
      </c>
      <c r="P402" s="5">
        <v>0.0</v>
      </c>
      <c r="R402" s="5" t="b">
        <v>0</v>
      </c>
      <c r="U402" s="5" t="s">
        <v>1578</v>
      </c>
      <c r="V402" s="5" t="s">
        <v>1508</v>
      </c>
      <c r="W402" s="5" t="s">
        <v>1508</v>
      </c>
      <c r="X402" s="5" t="s">
        <v>1509</v>
      </c>
      <c r="Z402" s="5">
        <v>1500.0</v>
      </c>
      <c r="AA402" s="5" t="s">
        <v>1979</v>
      </c>
      <c r="AB402" s="5">
        <v>750.0</v>
      </c>
      <c r="AC402" s="5" t="s">
        <v>1510</v>
      </c>
      <c r="AF402" s="36">
        <v>46096.348705474535</v>
      </c>
      <c r="AG402" s="5" t="s">
        <v>2015</v>
      </c>
    </row>
    <row r="403" ht="22.5" hidden="1" customHeight="1">
      <c r="A403" s="5" t="s">
        <v>2016</v>
      </c>
      <c r="B403" s="5" t="s">
        <v>1506</v>
      </c>
      <c r="C403" s="5" t="s">
        <v>910</v>
      </c>
      <c r="D403" s="5" t="s">
        <v>911</v>
      </c>
      <c r="E403" s="25" t="s">
        <v>912</v>
      </c>
      <c r="F403" s="5" t="s">
        <v>913</v>
      </c>
      <c r="G403" s="5">
        <v>1193309.0</v>
      </c>
      <c r="H403" s="35">
        <v>31928.0</v>
      </c>
      <c r="I403" s="5" t="s">
        <v>16</v>
      </c>
      <c r="J403" s="5" t="s">
        <v>42</v>
      </c>
      <c r="K403" s="5" t="b">
        <v>0</v>
      </c>
      <c r="L403" s="5" t="b">
        <v>0</v>
      </c>
      <c r="N403" s="5">
        <v>80.0</v>
      </c>
      <c r="O403" s="5">
        <v>0.0</v>
      </c>
      <c r="P403" s="5">
        <v>0.0</v>
      </c>
      <c r="R403" s="5" t="b">
        <v>0</v>
      </c>
      <c r="U403" s="5" t="s">
        <v>1507</v>
      </c>
      <c r="V403" s="5" t="s">
        <v>1508</v>
      </c>
      <c r="W403" s="5" t="s">
        <v>1548</v>
      </c>
      <c r="X403" s="5" t="s">
        <v>1509</v>
      </c>
      <c r="Z403" s="5">
        <v>80.0</v>
      </c>
      <c r="AB403" s="5">
        <v>0.0</v>
      </c>
      <c r="AC403" s="5" t="s">
        <v>1546</v>
      </c>
      <c r="AD403" s="5" t="s">
        <v>1511</v>
      </c>
      <c r="AE403" s="5">
        <v>2034.0</v>
      </c>
      <c r="AF403" s="36">
        <v>46096.343473981484</v>
      </c>
      <c r="AG403" s="5" t="s">
        <v>1549</v>
      </c>
    </row>
    <row r="404" ht="22.5" hidden="1" customHeight="1">
      <c r="A404" s="5" t="s">
        <v>2017</v>
      </c>
      <c r="B404" s="5" t="s">
        <v>1506</v>
      </c>
      <c r="C404" s="5" t="s">
        <v>1419</v>
      </c>
      <c r="D404" s="5" t="s">
        <v>14</v>
      </c>
      <c r="E404" s="5">
        <v>9.819752369E9</v>
      </c>
      <c r="F404" s="5" t="s">
        <v>1420</v>
      </c>
      <c r="G404" s="5">
        <v>6985674.0</v>
      </c>
      <c r="H404" s="35">
        <v>36512.0</v>
      </c>
      <c r="I404" s="5" t="s">
        <v>156</v>
      </c>
      <c r="J404" s="5" t="s">
        <v>46</v>
      </c>
      <c r="K404" s="5" t="b">
        <v>0</v>
      </c>
      <c r="L404" s="5" t="b">
        <v>0</v>
      </c>
      <c r="N404" s="5">
        <v>12000.0</v>
      </c>
      <c r="O404" s="5">
        <v>0.0</v>
      </c>
      <c r="P404" s="5">
        <v>0.0</v>
      </c>
      <c r="R404" s="5" t="b">
        <v>0</v>
      </c>
      <c r="U404" s="5" t="s">
        <v>1519</v>
      </c>
      <c r="V404" s="5" t="s">
        <v>1508</v>
      </c>
      <c r="W404" s="5" t="s">
        <v>1508</v>
      </c>
      <c r="X404" s="5" t="s">
        <v>1509</v>
      </c>
      <c r="Z404" s="5">
        <v>9000.0</v>
      </c>
      <c r="AA404" s="5" t="s">
        <v>1979</v>
      </c>
      <c r="AB404" s="5">
        <v>3000.0</v>
      </c>
      <c r="AC404" s="5" t="s">
        <v>1510</v>
      </c>
      <c r="AD404" s="5" t="s">
        <v>1511</v>
      </c>
      <c r="AE404" s="5">
        <v>1540.0</v>
      </c>
      <c r="AF404" s="36">
        <v>46096.33261416667</v>
      </c>
      <c r="AG404" s="5" t="s">
        <v>2018</v>
      </c>
    </row>
    <row r="405" ht="22.5" hidden="1" customHeight="1">
      <c r="A405" s="5" t="s">
        <v>2019</v>
      </c>
      <c r="B405" s="5" t="s">
        <v>1506</v>
      </c>
      <c r="C405" s="5" t="s">
        <v>1257</v>
      </c>
      <c r="D405" s="5" t="s">
        <v>14</v>
      </c>
      <c r="E405" s="25" t="s">
        <v>1258</v>
      </c>
      <c r="F405" s="5" t="s">
        <v>1259</v>
      </c>
      <c r="G405" s="5">
        <v>5075601.0</v>
      </c>
      <c r="H405" s="35">
        <v>35812.0</v>
      </c>
      <c r="I405" s="5" t="s">
        <v>156</v>
      </c>
      <c r="J405" s="5" t="s">
        <v>36</v>
      </c>
      <c r="K405" s="5" t="b">
        <v>0</v>
      </c>
      <c r="L405" s="5" t="b">
        <v>0</v>
      </c>
      <c r="N405" s="5">
        <v>12000.0</v>
      </c>
      <c r="O405" s="5">
        <v>0.0</v>
      </c>
      <c r="P405" s="5">
        <v>0.0</v>
      </c>
      <c r="R405" s="5" t="b">
        <v>0</v>
      </c>
      <c r="U405" s="5" t="s">
        <v>1514</v>
      </c>
      <c r="V405" s="5" t="s">
        <v>1508</v>
      </c>
      <c r="W405" s="5" t="s">
        <v>1548</v>
      </c>
      <c r="X405" s="5" t="s">
        <v>1509</v>
      </c>
      <c r="Z405" s="5">
        <v>9000.0</v>
      </c>
      <c r="AA405" s="5" t="s">
        <v>1979</v>
      </c>
      <c r="AB405" s="5">
        <v>3000.0</v>
      </c>
      <c r="AC405" s="5" t="s">
        <v>1510</v>
      </c>
      <c r="AE405" s="5">
        <v>1054.0</v>
      </c>
      <c r="AF405" s="36">
        <v>46096.318504814815</v>
      </c>
      <c r="AG405" s="5" t="s">
        <v>2020</v>
      </c>
    </row>
    <row r="406" ht="22.5" hidden="1" customHeight="1">
      <c r="A406" s="5" t="s">
        <v>2021</v>
      </c>
      <c r="B406" s="5" t="s">
        <v>1506</v>
      </c>
      <c r="C406" s="5" t="s">
        <v>1044</v>
      </c>
      <c r="D406" s="5" t="s">
        <v>14</v>
      </c>
      <c r="E406" s="25" t="s">
        <v>1045</v>
      </c>
      <c r="F406" s="5" t="s">
        <v>1046</v>
      </c>
      <c r="H406" s="35">
        <v>36210.0</v>
      </c>
      <c r="I406" s="5" t="s">
        <v>156</v>
      </c>
      <c r="J406" s="5" t="s">
        <v>42</v>
      </c>
      <c r="K406" s="5" t="b">
        <v>0</v>
      </c>
      <c r="L406" s="5" t="b">
        <v>0</v>
      </c>
      <c r="N406" s="5">
        <v>7500.0</v>
      </c>
      <c r="O406" s="5">
        <v>0.0</v>
      </c>
      <c r="P406" s="5">
        <v>0.0</v>
      </c>
      <c r="R406" s="5" t="b">
        <v>0</v>
      </c>
      <c r="U406" s="5" t="s">
        <v>1519</v>
      </c>
      <c r="V406" s="5" t="s">
        <v>1508</v>
      </c>
      <c r="W406" s="5" t="s">
        <v>1508</v>
      </c>
      <c r="X406" s="5" t="s">
        <v>1509</v>
      </c>
      <c r="Z406" s="5">
        <v>5625.0</v>
      </c>
      <c r="AA406" s="5" t="s">
        <v>1556</v>
      </c>
      <c r="AB406" s="5">
        <v>1875.0</v>
      </c>
      <c r="AC406" s="5" t="s">
        <v>1510</v>
      </c>
      <c r="AE406" s="5">
        <v>2070.0</v>
      </c>
      <c r="AF406" s="36">
        <v>46096.29551592593</v>
      </c>
    </row>
    <row r="407" ht="22.5" hidden="1" customHeight="1">
      <c r="A407" s="5" t="s">
        <v>2022</v>
      </c>
      <c r="B407" s="5" t="s">
        <v>1506</v>
      </c>
      <c r="C407" s="5" t="s">
        <v>742</v>
      </c>
      <c r="D407" s="5" t="s">
        <v>14</v>
      </c>
      <c r="E407" s="25" t="s">
        <v>743</v>
      </c>
      <c r="F407" s="5" t="s">
        <v>744</v>
      </c>
      <c r="G407" s="5">
        <v>7167077.0</v>
      </c>
      <c r="H407" s="35">
        <v>35011.0</v>
      </c>
      <c r="I407" s="5" t="s">
        <v>156</v>
      </c>
      <c r="J407" s="5" t="s">
        <v>39</v>
      </c>
      <c r="K407" s="5" t="b">
        <v>0</v>
      </c>
      <c r="L407" s="5" t="b">
        <v>0</v>
      </c>
      <c r="N407" s="5">
        <v>3000.0</v>
      </c>
      <c r="O407" s="5">
        <v>0.0</v>
      </c>
      <c r="P407" s="5">
        <v>0.0</v>
      </c>
      <c r="R407" s="5" t="b">
        <v>0</v>
      </c>
      <c r="U407" s="5" t="s">
        <v>1514</v>
      </c>
      <c r="V407" s="5" t="s">
        <v>1508</v>
      </c>
      <c r="W407" s="5" t="s">
        <v>1508</v>
      </c>
      <c r="X407" s="5" t="s">
        <v>1509</v>
      </c>
      <c r="Z407" s="5">
        <v>2400.0</v>
      </c>
      <c r="AA407" s="5" t="s">
        <v>1591</v>
      </c>
      <c r="AB407" s="5">
        <v>600.0</v>
      </c>
      <c r="AC407" s="5" t="s">
        <v>1510</v>
      </c>
      <c r="AE407" s="5">
        <v>3054.0</v>
      </c>
      <c r="AF407" s="36">
        <v>46096.28982320602</v>
      </c>
    </row>
    <row r="408" ht="22.5" hidden="1" customHeight="1">
      <c r="A408" s="5" t="s">
        <v>2023</v>
      </c>
      <c r="B408" s="5" t="s">
        <v>1506</v>
      </c>
      <c r="C408" s="5" t="s">
        <v>1217</v>
      </c>
      <c r="D408" s="5" t="s">
        <v>942</v>
      </c>
      <c r="E408" s="5">
        <v>9.707473903E9</v>
      </c>
      <c r="F408" s="5" t="s">
        <v>1218</v>
      </c>
      <c r="G408" s="5" t="s">
        <v>2024</v>
      </c>
      <c r="H408" s="35">
        <v>34828.0</v>
      </c>
      <c r="I408" s="5" t="s">
        <v>16</v>
      </c>
      <c r="J408" s="5" t="s">
        <v>36</v>
      </c>
      <c r="K408" s="5" t="b">
        <v>0</v>
      </c>
      <c r="L408" s="5" t="b">
        <v>0</v>
      </c>
      <c r="N408" s="5">
        <v>150.0</v>
      </c>
      <c r="O408" s="5">
        <v>0.0</v>
      </c>
      <c r="P408" s="5">
        <v>0.0</v>
      </c>
      <c r="R408" s="5" t="b">
        <v>0</v>
      </c>
      <c r="U408" s="5" t="s">
        <v>1517</v>
      </c>
      <c r="V408" s="5" t="s">
        <v>1508</v>
      </c>
      <c r="W408" s="5" t="s">
        <v>1548</v>
      </c>
      <c r="X408" s="5" t="s">
        <v>1509</v>
      </c>
      <c r="Z408" s="5">
        <v>112.5</v>
      </c>
      <c r="AA408" s="5" t="s">
        <v>1556</v>
      </c>
      <c r="AB408" s="5">
        <v>37.5</v>
      </c>
      <c r="AC408" s="5" t="s">
        <v>1546</v>
      </c>
      <c r="AD408" s="5" t="s">
        <v>1511</v>
      </c>
      <c r="AE408" s="5">
        <v>1042.0</v>
      </c>
      <c r="AF408" s="36">
        <v>46096.287386724536</v>
      </c>
      <c r="AG408" s="5" t="s">
        <v>1549</v>
      </c>
    </row>
    <row r="409" ht="22.5" customHeight="1">
      <c r="A409" s="5" t="s">
        <v>2025</v>
      </c>
      <c r="B409" s="5" t="s">
        <v>1506</v>
      </c>
      <c r="C409" s="5" t="s">
        <v>122</v>
      </c>
      <c r="D409" s="5" t="s">
        <v>14</v>
      </c>
      <c r="E409" s="5">
        <v>9.861549956E9</v>
      </c>
      <c r="F409" s="5" t="s">
        <v>123</v>
      </c>
      <c r="H409" s="35">
        <v>35703.0</v>
      </c>
      <c r="I409" s="5" t="s">
        <v>16</v>
      </c>
      <c r="J409" s="5" t="s">
        <v>17</v>
      </c>
      <c r="K409" s="5" t="b">
        <v>0</v>
      </c>
      <c r="L409" s="5" t="b">
        <v>0</v>
      </c>
      <c r="N409" s="5">
        <v>1500.0</v>
      </c>
      <c r="O409" s="5">
        <v>0.0</v>
      </c>
      <c r="P409" s="5">
        <v>0.0</v>
      </c>
      <c r="R409" s="5" t="b">
        <v>0</v>
      </c>
      <c r="U409" s="5" t="s">
        <v>1517</v>
      </c>
      <c r="V409" s="5" t="s">
        <v>1508</v>
      </c>
      <c r="W409" s="5" t="s">
        <v>1508</v>
      </c>
      <c r="X409" s="5" t="s">
        <v>1509</v>
      </c>
      <c r="Z409" s="5">
        <v>1125.0</v>
      </c>
      <c r="AA409" s="5" t="s">
        <v>1979</v>
      </c>
      <c r="AB409" s="5">
        <v>375.0</v>
      </c>
      <c r="AC409" s="5" t="s">
        <v>1510</v>
      </c>
      <c r="AE409" s="5">
        <v>4057.0</v>
      </c>
      <c r="AF409" s="36">
        <v>46096.28022314815</v>
      </c>
    </row>
    <row r="410" ht="22.5" hidden="1" customHeight="1">
      <c r="A410" s="5" t="s">
        <v>2026</v>
      </c>
      <c r="B410" s="5" t="s">
        <v>1506</v>
      </c>
      <c r="C410" s="5" t="s">
        <v>2027</v>
      </c>
      <c r="D410" s="5" t="s">
        <v>137</v>
      </c>
      <c r="E410" s="25" t="s">
        <v>1323</v>
      </c>
      <c r="F410" s="5" t="s">
        <v>1324</v>
      </c>
      <c r="G410" s="5">
        <v>5257432.0</v>
      </c>
      <c r="H410" s="35">
        <v>33476.0</v>
      </c>
      <c r="I410" s="5" t="s">
        <v>156</v>
      </c>
      <c r="J410" s="5" t="s">
        <v>36</v>
      </c>
      <c r="K410" s="5" t="b">
        <v>0</v>
      </c>
      <c r="L410" s="5" t="b">
        <v>0</v>
      </c>
      <c r="N410" s="5">
        <v>150.0</v>
      </c>
      <c r="O410" s="5">
        <v>0.0</v>
      </c>
      <c r="P410" s="5">
        <v>0.0</v>
      </c>
      <c r="R410" s="5" t="b">
        <v>0</v>
      </c>
      <c r="U410" s="5" t="s">
        <v>1517</v>
      </c>
      <c r="V410" s="5" t="s">
        <v>1508</v>
      </c>
      <c r="W410" s="5" t="s">
        <v>1548</v>
      </c>
      <c r="X410" s="5" t="s">
        <v>1509</v>
      </c>
      <c r="Z410" s="5">
        <v>112.5</v>
      </c>
      <c r="AA410" s="5" t="s">
        <v>1556</v>
      </c>
      <c r="AB410" s="5">
        <v>37.5</v>
      </c>
      <c r="AC410" s="5" t="s">
        <v>1546</v>
      </c>
      <c r="AD410" s="5" t="s">
        <v>1511</v>
      </c>
      <c r="AE410" s="5">
        <v>1041.0</v>
      </c>
      <c r="AF410" s="36">
        <v>46096.27595310185</v>
      </c>
      <c r="AG410" s="5" t="s">
        <v>1549</v>
      </c>
    </row>
    <row r="411" ht="22.5" hidden="1" customHeight="1">
      <c r="A411" s="5" t="s">
        <v>2028</v>
      </c>
      <c r="B411" s="5" t="s">
        <v>1506</v>
      </c>
      <c r="C411" s="5" t="s">
        <v>745</v>
      </c>
      <c r="D411" s="5" t="s">
        <v>14</v>
      </c>
      <c r="E411" s="25" t="s">
        <v>746</v>
      </c>
      <c r="F411" s="5" t="s">
        <v>747</v>
      </c>
      <c r="G411" s="5">
        <v>7202969.0</v>
      </c>
      <c r="H411" s="35">
        <v>35521.0</v>
      </c>
      <c r="I411" s="5" t="s">
        <v>156</v>
      </c>
      <c r="J411" s="5" t="s">
        <v>39</v>
      </c>
      <c r="K411" s="5" t="b">
        <v>0</v>
      </c>
      <c r="L411" s="5" t="b">
        <v>0</v>
      </c>
      <c r="N411" s="5">
        <v>3000.0</v>
      </c>
      <c r="O411" s="5">
        <v>0.0</v>
      </c>
      <c r="P411" s="5">
        <v>0.0</v>
      </c>
      <c r="R411" s="5" t="b">
        <v>0</v>
      </c>
      <c r="U411" s="5" t="s">
        <v>1517</v>
      </c>
      <c r="V411" s="5" t="s">
        <v>1508</v>
      </c>
      <c r="W411" s="5" t="s">
        <v>1508</v>
      </c>
      <c r="X411" s="5" t="s">
        <v>1509</v>
      </c>
      <c r="Z411" s="5">
        <v>2250.0</v>
      </c>
      <c r="AA411" s="5" t="s">
        <v>1979</v>
      </c>
      <c r="AB411" s="5">
        <v>750.0</v>
      </c>
      <c r="AC411" s="5" t="s">
        <v>1510</v>
      </c>
      <c r="AE411" s="5">
        <v>3053.0</v>
      </c>
      <c r="AF411" s="36">
        <v>46096.26343050926</v>
      </c>
      <c r="AG411" s="5" t="s">
        <v>2029</v>
      </c>
    </row>
    <row r="412" ht="22.5" hidden="1" customHeight="1">
      <c r="A412" s="5" t="s">
        <v>2030</v>
      </c>
      <c r="B412" s="5" t="s">
        <v>1506</v>
      </c>
      <c r="C412" s="5" t="s">
        <v>1260</v>
      </c>
      <c r="D412" s="5" t="s">
        <v>14</v>
      </c>
      <c r="E412" s="5">
        <v>9.81037155E9</v>
      </c>
      <c r="F412" s="5" t="s">
        <v>1261</v>
      </c>
      <c r="H412" s="35">
        <v>34361.0</v>
      </c>
      <c r="I412" s="5" t="s">
        <v>156</v>
      </c>
      <c r="J412" s="5" t="s">
        <v>36</v>
      </c>
      <c r="K412" s="5" t="b">
        <v>0</v>
      </c>
      <c r="L412" s="5" t="b">
        <v>0</v>
      </c>
      <c r="N412" s="5">
        <v>12000.0</v>
      </c>
      <c r="O412" s="5">
        <v>0.0</v>
      </c>
      <c r="P412" s="5">
        <v>0.0</v>
      </c>
      <c r="R412" s="5" t="b">
        <v>0</v>
      </c>
      <c r="U412" s="5" t="s">
        <v>1519</v>
      </c>
      <c r="V412" s="5" t="s">
        <v>1508</v>
      </c>
      <c r="W412" s="5" t="s">
        <v>1548</v>
      </c>
      <c r="X412" s="5" t="s">
        <v>1509</v>
      </c>
      <c r="Z412" s="5">
        <v>9000.0</v>
      </c>
      <c r="AA412" s="5" t="s">
        <v>1556</v>
      </c>
      <c r="AB412" s="5">
        <v>3000.0</v>
      </c>
      <c r="AC412" s="5" t="s">
        <v>1510</v>
      </c>
      <c r="AE412" s="5">
        <v>1053.0</v>
      </c>
      <c r="AF412" s="36">
        <v>46096.23056885417</v>
      </c>
      <c r="AG412" s="5" t="s">
        <v>1549</v>
      </c>
    </row>
    <row r="413" ht="22.5" hidden="1" customHeight="1">
      <c r="A413" s="5" t="s">
        <v>2031</v>
      </c>
      <c r="B413" s="5" t="s">
        <v>1506</v>
      </c>
      <c r="C413" s="5" t="s">
        <v>543</v>
      </c>
      <c r="D413" s="5" t="s">
        <v>140</v>
      </c>
      <c r="E413" s="5">
        <v>9.765000902E9</v>
      </c>
      <c r="F413" s="5" t="s">
        <v>544</v>
      </c>
      <c r="G413" s="5">
        <v>7135976.0</v>
      </c>
      <c r="H413" s="35">
        <v>38883.0</v>
      </c>
      <c r="I413" s="5" t="s">
        <v>156</v>
      </c>
      <c r="J413" s="5" t="s">
        <v>42</v>
      </c>
      <c r="K413" s="5" t="b">
        <v>0</v>
      </c>
      <c r="L413" s="5" t="b">
        <v>0</v>
      </c>
      <c r="N413" s="5">
        <v>7500.0</v>
      </c>
      <c r="O413" s="5">
        <v>0.0</v>
      </c>
      <c r="P413" s="5">
        <v>0.0</v>
      </c>
      <c r="R413" s="5" t="b">
        <v>0</v>
      </c>
      <c r="U413" s="5" t="s">
        <v>1517</v>
      </c>
      <c r="V413" s="5" t="s">
        <v>1508</v>
      </c>
      <c r="W413" s="5" t="s">
        <v>1508</v>
      </c>
      <c r="X413" s="5" t="s">
        <v>1509</v>
      </c>
      <c r="Z413" s="5">
        <v>5625.0</v>
      </c>
      <c r="AA413" s="5" t="s">
        <v>1979</v>
      </c>
      <c r="AB413" s="5">
        <v>1875.0</v>
      </c>
      <c r="AC413" s="5" t="s">
        <v>1510</v>
      </c>
      <c r="AE413" s="5">
        <v>2069.0</v>
      </c>
      <c r="AF413" s="36">
        <v>46096.198352175925</v>
      </c>
    </row>
    <row r="414" ht="22.5" hidden="1" customHeight="1">
      <c r="A414" s="5" t="s">
        <v>2032</v>
      </c>
      <c r="B414" s="5" t="s">
        <v>1506</v>
      </c>
      <c r="C414" s="5" t="s">
        <v>1128</v>
      </c>
      <c r="D414" s="5" t="s">
        <v>140</v>
      </c>
      <c r="E414" s="5">
        <v>9.765000903E9</v>
      </c>
      <c r="F414" s="5" t="s">
        <v>1129</v>
      </c>
      <c r="G414" s="5">
        <v>7135974.0</v>
      </c>
      <c r="H414" s="35">
        <v>39113.0</v>
      </c>
      <c r="I414" s="5" t="s">
        <v>156</v>
      </c>
      <c r="J414" s="5" t="s">
        <v>42</v>
      </c>
      <c r="K414" s="5" t="b">
        <v>0</v>
      </c>
      <c r="L414" s="5" t="b">
        <v>0</v>
      </c>
      <c r="N414" s="5">
        <v>7500.0</v>
      </c>
      <c r="O414" s="5">
        <v>0.0</v>
      </c>
      <c r="P414" s="5">
        <v>0.0</v>
      </c>
      <c r="R414" s="5" t="b">
        <v>0</v>
      </c>
      <c r="U414" s="5" t="s">
        <v>1519</v>
      </c>
      <c r="V414" s="5" t="s">
        <v>1508</v>
      </c>
      <c r="W414" s="5" t="s">
        <v>1508</v>
      </c>
      <c r="X414" s="5" t="s">
        <v>1509</v>
      </c>
      <c r="Z414" s="5">
        <v>5625.0</v>
      </c>
      <c r="AA414" s="5" t="s">
        <v>1979</v>
      </c>
      <c r="AB414" s="5">
        <v>1875.0</v>
      </c>
      <c r="AC414" s="5" t="s">
        <v>1510</v>
      </c>
      <c r="AE414" s="5">
        <v>2068.0</v>
      </c>
      <c r="AF414" s="36">
        <v>46096.19168934028</v>
      </c>
    </row>
    <row r="415" ht="22.5" hidden="1" customHeight="1">
      <c r="A415" s="5" t="s">
        <v>2033</v>
      </c>
      <c r="B415" s="5" t="s">
        <v>1506</v>
      </c>
      <c r="C415" s="5" t="s">
        <v>2034</v>
      </c>
      <c r="D415" s="5" t="s">
        <v>14</v>
      </c>
      <c r="E415" s="25" t="s">
        <v>749</v>
      </c>
      <c r="F415" s="5" t="s">
        <v>750</v>
      </c>
      <c r="G415" s="5">
        <v>7059094.0</v>
      </c>
      <c r="H415" s="35">
        <v>28860.0</v>
      </c>
      <c r="I415" s="5" t="s">
        <v>156</v>
      </c>
      <c r="J415" s="5" t="s">
        <v>39</v>
      </c>
      <c r="K415" s="5" t="b">
        <v>0</v>
      </c>
      <c r="L415" s="5" t="b">
        <v>0</v>
      </c>
      <c r="N415" s="5">
        <v>3000.0</v>
      </c>
      <c r="O415" s="5">
        <v>0.0</v>
      </c>
      <c r="P415" s="5">
        <v>0.0</v>
      </c>
      <c r="R415" s="5" t="b">
        <v>0</v>
      </c>
      <c r="U415" s="5" t="s">
        <v>1517</v>
      </c>
      <c r="V415" s="5" t="s">
        <v>1508</v>
      </c>
      <c r="W415" s="5" t="s">
        <v>1548</v>
      </c>
      <c r="X415" s="5" t="s">
        <v>1509</v>
      </c>
      <c r="Z415" s="5">
        <v>2250.0</v>
      </c>
      <c r="AA415" s="5" t="s">
        <v>1979</v>
      </c>
      <c r="AB415" s="5">
        <v>750.0</v>
      </c>
      <c r="AC415" s="5" t="s">
        <v>1510</v>
      </c>
      <c r="AE415" s="5">
        <v>3052.0</v>
      </c>
      <c r="AF415" s="36">
        <v>46096.16854363426</v>
      </c>
      <c r="AG415" s="5" t="s">
        <v>1549</v>
      </c>
    </row>
    <row r="416" ht="22.5" hidden="1" customHeight="1">
      <c r="A416" s="5" t="s">
        <v>2035</v>
      </c>
      <c r="B416" s="5" t="s">
        <v>1506</v>
      </c>
      <c r="C416" s="5" t="s">
        <v>1047</v>
      </c>
      <c r="D416" s="5" t="s">
        <v>14</v>
      </c>
      <c r="E416" s="25" t="s">
        <v>1048</v>
      </c>
      <c r="F416" s="5" t="s">
        <v>1049</v>
      </c>
      <c r="H416" s="35">
        <v>32964.0</v>
      </c>
      <c r="I416" s="5" t="s">
        <v>156</v>
      </c>
      <c r="J416" s="5" t="s">
        <v>42</v>
      </c>
      <c r="K416" s="5" t="b">
        <v>0</v>
      </c>
      <c r="L416" s="5" t="b">
        <v>0</v>
      </c>
      <c r="N416" s="5">
        <v>7500.0</v>
      </c>
      <c r="O416" s="5">
        <v>0.0</v>
      </c>
      <c r="P416" s="5">
        <v>0.0</v>
      </c>
      <c r="R416" s="5" t="b">
        <v>0</v>
      </c>
      <c r="U416" s="5" t="s">
        <v>1519</v>
      </c>
      <c r="V416" s="5" t="s">
        <v>1508</v>
      </c>
      <c r="W416" s="5" t="s">
        <v>1548</v>
      </c>
      <c r="X416" s="5" t="s">
        <v>1509</v>
      </c>
      <c r="Z416" s="5">
        <v>5625.0</v>
      </c>
      <c r="AA416" s="5" t="s">
        <v>1979</v>
      </c>
      <c r="AB416" s="5">
        <v>1875.0</v>
      </c>
      <c r="AC416" s="5" t="s">
        <v>1510</v>
      </c>
      <c r="AE416" s="5">
        <v>2067.0</v>
      </c>
      <c r="AF416" s="36">
        <v>46096.13337956018</v>
      </c>
      <c r="AG416" s="5" t="s">
        <v>1549</v>
      </c>
    </row>
    <row r="417" ht="22.5" hidden="1" customHeight="1">
      <c r="A417" s="5" t="s">
        <v>2036</v>
      </c>
      <c r="B417" s="5" t="s">
        <v>1506</v>
      </c>
      <c r="C417" s="5" t="s">
        <v>1050</v>
      </c>
      <c r="D417" s="5" t="s">
        <v>14</v>
      </c>
      <c r="E417" s="25" t="s">
        <v>1051</v>
      </c>
      <c r="F417" s="5" t="s">
        <v>1052</v>
      </c>
      <c r="H417" s="35">
        <v>38654.0</v>
      </c>
      <c r="I417" s="5" t="s">
        <v>156</v>
      </c>
      <c r="J417" s="5" t="s">
        <v>42</v>
      </c>
      <c r="K417" s="5" t="b">
        <v>0</v>
      </c>
      <c r="L417" s="5" t="b">
        <v>0</v>
      </c>
      <c r="N417" s="5">
        <v>7500.0</v>
      </c>
      <c r="O417" s="5">
        <v>0.0</v>
      </c>
      <c r="P417" s="5">
        <v>0.0</v>
      </c>
      <c r="R417" s="5" t="b">
        <v>0</v>
      </c>
      <c r="U417" s="5" t="s">
        <v>1519</v>
      </c>
      <c r="V417" s="5" t="s">
        <v>1508</v>
      </c>
      <c r="W417" s="5" t="s">
        <v>1508</v>
      </c>
      <c r="X417" s="5" t="s">
        <v>1509</v>
      </c>
      <c r="Z417" s="5">
        <v>6000.0</v>
      </c>
      <c r="AA417" s="5" t="s">
        <v>1591</v>
      </c>
      <c r="AB417" s="5">
        <v>1500.0</v>
      </c>
      <c r="AC417" s="5" t="s">
        <v>1510</v>
      </c>
      <c r="AE417" s="5">
        <v>2066.0</v>
      </c>
      <c r="AF417" s="36">
        <v>46096.12055864583</v>
      </c>
    </row>
    <row r="418" ht="22.5" customHeight="1">
      <c r="A418" s="5" t="s">
        <v>2037</v>
      </c>
      <c r="B418" s="5" t="s">
        <v>1506</v>
      </c>
      <c r="C418" s="5" t="s">
        <v>334</v>
      </c>
      <c r="D418" s="5" t="s">
        <v>14</v>
      </c>
      <c r="E418" s="5">
        <v>9.851343115E9</v>
      </c>
      <c r="F418" s="5" t="s">
        <v>335</v>
      </c>
      <c r="G418" s="5">
        <v>6937038.0</v>
      </c>
      <c r="H418" s="35">
        <v>36485.0</v>
      </c>
      <c r="I418" s="5" t="s">
        <v>156</v>
      </c>
      <c r="J418" s="5" t="s">
        <v>17</v>
      </c>
      <c r="K418" s="5" t="b">
        <v>0</v>
      </c>
      <c r="L418" s="5" t="b">
        <v>0</v>
      </c>
      <c r="N418" s="5">
        <v>1500.0</v>
      </c>
      <c r="O418" s="5">
        <v>0.0</v>
      </c>
      <c r="P418" s="5">
        <v>0.0</v>
      </c>
      <c r="R418" s="5" t="b">
        <v>0</v>
      </c>
      <c r="U418" s="5" t="s">
        <v>1517</v>
      </c>
      <c r="V418" s="5" t="s">
        <v>1508</v>
      </c>
      <c r="W418" s="5" t="s">
        <v>1508</v>
      </c>
      <c r="X418" s="5" t="s">
        <v>1509</v>
      </c>
      <c r="Z418" s="5">
        <v>1125.0</v>
      </c>
      <c r="AA418" s="5" t="s">
        <v>1979</v>
      </c>
      <c r="AB418" s="5">
        <v>375.0</v>
      </c>
      <c r="AC418" s="5" t="s">
        <v>1510</v>
      </c>
      <c r="AE418" s="5">
        <v>4056.0</v>
      </c>
      <c r="AF418" s="36">
        <v>46096.10983541667</v>
      </c>
    </row>
    <row r="419" ht="22.5" hidden="1" customHeight="1">
      <c r="A419" s="5" t="s">
        <v>2038</v>
      </c>
      <c r="B419" s="5" t="s">
        <v>1506</v>
      </c>
      <c r="C419" s="5" t="s">
        <v>458</v>
      </c>
      <c r="D419" s="5" t="s">
        <v>14</v>
      </c>
      <c r="E419" s="5">
        <v>9.863328545E9</v>
      </c>
      <c r="F419" s="5" t="s">
        <v>459</v>
      </c>
      <c r="G419" s="5">
        <v>7166837.0</v>
      </c>
      <c r="H419" s="35">
        <v>34472.0</v>
      </c>
      <c r="I419" s="5" t="s">
        <v>16</v>
      </c>
      <c r="J419" s="5" t="s">
        <v>39</v>
      </c>
      <c r="K419" s="5" t="b">
        <v>0</v>
      </c>
      <c r="L419" s="5" t="b">
        <v>0</v>
      </c>
      <c r="N419" s="5">
        <v>3000.0</v>
      </c>
      <c r="O419" s="5">
        <v>0.0</v>
      </c>
      <c r="P419" s="5">
        <v>0.0</v>
      </c>
      <c r="R419" s="5" t="b">
        <v>0</v>
      </c>
      <c r="U419" s="5" t="s">
        <v>1507</v>
      </c>
      <c r="V419" s="5" t="s">
        <v>1508</v>
      </c>
      <c r="W419" s="5" t="s">
        <v>1508</v>
      </c>
      <c r="X419" s="5" t="s">
        <v>1509</v>
      </c>
      <c r="Z419" s="5">
        <v>2250.0</v>
      </c>
      <c r="AA419" s="5" t="s">
        <v>1979</v>
      </c>
      <c r="AB419" s="5">
        <v>750.0</v>
      </c>
      <c r="AC419" s="5" t="s">
        <v>1510</v>
      </c>
      <c r="AE419" s="5">
        <v>3051.0</v>
      </c>
      <c r="AF419" s="36">
        <v>46095.65683150463</v>
      </c>
    </row>
    <row r="420" ht="22.5" hidden="1" customHeight="1">
      <c r="A420" s="5" t="s">
        <v>2039</v>
      </c>
      <c r="B420" s="5" t="s">
        <v>1506</v>
      </c>
      <c r="C420" s="5" t="s">
        <v>2040</v>
      </c>
      <c r="D420" s="5" t="s">
        <v>14</v>
      </c>
      <c r="E420" s="5">
        <v>9.855097777E9</v>
      </c>
      <c r="F420" s="5" t="s">
        <v>752</v>
      </c>
      <c r="H420" s="35">
        <v>31745.0</v>
      </c>
      <c r="I420" s="5" t="s">
        <v>156</v>
      </c>
      <c r="J420" s="5" t="s">
        <v>39</v>
      </c>
      <c r="K420" s="5" t="b">
        <v>0</v>
      </c>
      <c r="L420" s="5" t="b">
        <v>0</v>
      </c>
      <c r="N420" s="5">
        <v>3000.0</v>
      </c>
      <c r="O420" s="5">
        <v>0.0</v>
      </c>
      <c r="P420" s="5">
        <v>0.0</v>
      </c>
      <c r="R420" s="5" t="b">
        <v>0</v>
      </c>
      <c r="U420" s="5" t="s">
        <v>1517</v>
      </c>
      <c r="V420" s="5" t="s">
        <v>1508</v>
      </c>
      <c r="W420" s="5" t="s">
        <v>1548</v>
      </c>
      <c r="X420" s="5" t="s">
        <v>1509</v>
      </c>
      <c r="Z420" s="5">
        <v>3000.0</v>
      </c>
      <c r="AB420" s="5">
        <v>0.0</v>
      </c>
      <c r="AC420" s="5" t="s">
        <v>1510</v>
      </c>
      <c r="AE420" s="5">
        <v>3050.0</v>
      </c>
      <c r="AF420" s="36">
        <v>46095.636103888886</v>
      </c>
      <c r="AG420" s="5" t="s">
        <v>1549</v>
      </c>
    </row>
    <row r="421" ht="22.5" customHeight="1">
      <c r="A421" s="5" t="s">
        <v>2041</v>
      </c>
      <c r="B421" s="5" t="s">
        <v>1506</v>
      </c>
      <c r="C421" s="5" t="s">
        <v>336</v>
      </c>
      <c r="D421" s="5" t="s">
        <v>14</v>
      </c>
      <c r="E421" s="25" t="s">
        <v>337</v>
      </c>
      <c r="F421" s="5" t="s">
        <v>338</v>
      </c>
      <c r="H421" s="35">
        <v>36784.0</v>
      </c>
      <c r="I421" s="5" t="s">
        <v>156</v>
      </c>
      <c r="J421" s="5" t="s">
        <v>17</v>
      </c>
      <c r="K421" s="5" t="b">
        <v>0</v>
      </c>
      <c r="L421" s="5" t="b">
        <v>0</v>
      </c>
      <c r="N421" s="5">
        <v>1500.0</v>
      </c>
      <c r="O421" s="5">
        <v>0.0</v>
      </c>
      <c r="P421" s="5">
        <v>0.0</v>
      </c>
      <c r="R421" s="5" t="b">
        <v>0</v>
      </c>
      <c r="U421" s="5" t="s">
        <v>1517</v>
      </c>
      <c r="V421" s="5" t="s">
        <v>1508</v>
      </c>
      <c r="W421" s="5" t="s">
        <v>1548</v>
      </c>
      <c r="X421" s="5" t="s">
        <v>1509</v>
      </c>
      <c r="Z421" s="5">
        <v>1500.0</v>
      </c>
      <c r="AB421" s="5">
        <v>0.0</v>
      </c>
      <c r="AC421" s="5" t="s">
        <v>1510</v>
      </c>
      <c r="AD421" s="5" t="s">
        <v>1511</v>
      </c>
      <c r="AE421" s="5">
        <v>4172.0</v>
      </c>
      <c r="AF421" s="36">
        <v>46095.61366270833</v>
      </c>
      <c r="AG421" s="5" t="s">
        <v>1549</v>
      </c>
    </row>
    <row r="422" ht="22.5" hidden="1" customHeight="1">
      <c r="A422" s="5" t="s">
        <v>2042</v>
      </c>
      <c r="B422" s="5" t="s">
        <v>1506</v>
      </c>
      <c r="C422" s="5" t="s">
        <v>2043</v>
      </c>
      <c r="D422" s="5" t="s">
        <v>14</v>
      </c>
      <c r="E422" s="5">
        <v>9.851206543E9</v>
      </c>
      <c r="F422" s="5" t="s">
        <v>1422</v>
      </c>
      <c r="G422" s="5">
        <v>4807975.0</v>
      </c>
      <c r="H422" s="35">
        <v>33008.0</v>
      </c>
      <c r="I422" s="5" t="s">
        <v>156</v>
      </c>
      <c r="J422" s="5" t="s">
        <v>46</v>
      </c>
      <c r="K422" s="5" t="b">
        <v>0</v>
      </c>
      <c r="L422" s="5" t="b">
        <v>0</v>
      </c>
      <c r="N422" s="5">
        <v>9000.0</v>
      </c>
      <c r="O422" s="5">
        <v>0.0</v>
      </c>
      <c r="P422" s="5">
        <v>0.0</v>
      </c>
      <c r="R422" s="5" t="b">
        <v>0</v>
      </c>
      <c r="U422" s="5" t="s">
        <v>1519</v>
      </c>
      <c r="V422" s="5" t="s">
        <v>1508</v>
      </c>
      <c r="W422" s="5" t="s">
        <v>1508</v>
      </c>
      <c r="X422" s="5" t="s">
        <v>1509</v>
      </c>
      <c r="Z422" s="5">
        <v>6750.0</v>
      </c>
      <c r="AA422" s="5" t="s">
        <v>1979</v>
      </c>
      <c r="AB422" s="5">
        <v>2250.0</v>
      </c>
      <c r="AC422" s="5" t="s">
        <v>1510</v>
      </c>
      <c r="AE422" s="5">
        <v>1520.0</v>
      </c>
      <c r="AF422" s="36">
        <v>46095.55345961806</v>
      </c>
    </row>
    <row r="423" ht="22.5" customHeight="1">
      <c r="A423" s="5" t="s">
        <v>2044</v>
      </c>
      <c r="B423" s="5" t="s">
        <v>1506</v>
      </c>
      <c r="C423" s="5" t="s">
        <v>2045</v>
      </c>
      <c r="D423" s="5" t="s">
        <v>14</v>
      </c>
      <c r="E423" s="5">
        <v>9.869836255E9</v>
      </c>
      <c r="F423" s="5" t="s">
        <v>340</v>
      </c>
      <c r="H423" s="35">
        <v>36642.0</v>
      </c>
      <c r="I423" s="5" t="s">
        <v>156</v>
      </c>
      <c r="J423" s="5" t="s">
        <v>17</v>
      </c>
      <c r="K423" s="5" t="b">
        <v>0</v>
      </c>
      <c r="L423" s="5" t="b">
        <v>0</v>
      </c>
      <c r="N423" s="5">
        <v>1500.0</v>
      </c>
      <c r="O423" s="5">
        <v>0.0</v>
      </c>
      <c r="P423" s="5">
        <v>0.0</v>
      </c>
      <c r="R423" s="5" t="b">
        <v>0</v>
      </c>
      <c r="U423" s="5" t="s">
        <v>1517</v>
      </c>
      <c r="V423" s="5" t="s">
        <v>1508</v>
      </c>
      <c r="W423" s="5" t="s">
        <v>1508</v>
      </c>
      <c r="X423" s="5" t="s">
        <v>1509</v>
      </c>
      <c r="Z423" s="5">
        <v>1500.0</v>
      </c>
      <c r="AB423" s="5">
        <v>0.0</v>
      </c>
      <c r="AC423" s="5" t="s">
        <v>1510</v>
      </c>
      <c r="AE423" s="5">
        <v>4055.0</v>
      </c>
      <c r="AF423" s="36">
        <v>46095.515902928244</v>
      </c>
    </row>
    <row r="424" ht="22.5" hidden="1" customHeight="1">
      <c r="A424" s="5" t="s">
        <v>2046</v>
      </c>
      <c r="B424" s="5" t="s">
        <v>1506</v>
      </c>
      <c r="C424" s="5" t="s">
        <v>1053</v>
      </c>
      <c r="D424" s="5" t="s">
        <v>14</v>
      </c>
      <c r="E424" s="5" t="s">
        <v>1054</v>
      </c>
      <c r="F424" s="5" t="s">
        <v>1055</v>
      </c>
      <c r="G424" s="5">
        <v>1496419.0</v>
      </c>
      <c r="H424" s="35">
        <v>26402.0</v>
      </c>
      <c r="I424" s="5" t="s">
        <v>156</v>
      </c>
      <c r="J424" s="5" t="s">
        <v>42</v>
      </c>
      <c r="K424" s="5" t="b">
        <v>0</v>
      </c>
      <c r="L424" s="5" t="b">
        <v>0</v>
      </c>
      <c r="N424" s="5">
        <v>7500.0</v>
      </c>
      <c r="O424" s="5">
        <v>0.0</v>
      </c>
      <c r="P424" s="5">
        <v>0.0</v>
      </c>
      <c r="R424" s="5" t="b">
        <v>0</v>
      </c>
      <c r="U424" s="5" t="s">
        <v>1517</v>
      </c>
      <c r="V424" s="5" t="s">
        <v>1508</v>
      </c>
      <c r="W424" s="5" t="s">
        <v>1548</v>
      </c>
      <c r="X424" s="5" t="s">
        <v>1509</v>
      </c>
      <c r="Z424" s="5">
        <v>7500.0</v>
      </c>
      <c r="AB424" s="5">
        <v>0.0</v>
      </c>
      <c r="AC424" s="5" t="s">
        <v>1510</v>
      </c>
      <c r="AE424" s="5">
        <v>2065.0</v>
      </c>
      <c r="AF424" s="36">
        <v>46095.48545826389</v>
      </c>
      <c r="AG424" s="5" t="s">
        <v>1549</v>
      </c>
    </row>
    <row r="425" ht="22.5" hidden="1" customHeight="1">
      <c r="A425" s="5" t="s">
        <v>2047</v>
      </c>
      <c r="B425" s="5" t="s">
        <v>1506</v>
      </c>
      <c r="C425" s="5" t="s">
        <v>1056</v>
      </c>
      <c r="D425" s="5" t="s">
        <v>14</v>
      </c>
      <c r="E425" s="5">
        <v>9.86059859E9</v>
      </c>
      <c r="F425" s="5" t="s">
        <v>1057</v>
      </c>
      <c r="G425" s="5">
        <v>6985810.0</v>
      </c>
      <c r="H425" s="35">
        <v>35526.0</v>
      </c>
      <c r="I425" s="5" t="s">
        <v>156</v>
      </c>
      <c r="J425" s="5" t="s">
        <v>42</v>
      </c>
      <c r="K425" s="5" t="b">
        <v>0</v>
      </c>
      <c r="L425" s="5" t="b">
        <v>0</v>
      </c>
      <c r="N425" s="5">
        <v>7500.0</v>
      </c>
      <c r="O425" s="5">
        <v>0.0</v>
      </c>
      <c r="P425" s="5">
        <v>0.0</v>
      </c>
      <c r="R425" s="5" t="b">
        <v>0</v>
      </c>
      <c r="U425" s="5" t="s">
        <v>1514</v>
      </c>
      <c r="V425" s="5" t="s">
        <v>1508</v>
      </c>
      <c r="W425" s="5" t="s">
        <v>1508</v>
      </c>
      <c r="X425" s="5" t="s">
        <v>1509</v>
      </c>
      <c r="Z425" s="5">
        <v>5625.0</v>
      </c>
      <c r="AA425" s="5" t="s">
        <v>1979</v>
      </c>
      <c r="AB425" s="5">
        <v>1875.0</v>
      </c>
      <c r="AC425" s="5" t="s">
        <v>1510</v>
      </c>
      <c r="AE425" s="5">
        <v>2064.0</v>
      </c>
      <c r="AF425" s="36">
        <v>46095.19840931713</v>
      </c>
    </row>
    <row r="426" ht="22.5" hidden="1" customHeight="1">
      <c r="A426" s="5" t="s">
        <v>2048</v>
      </c>
      <c r="B426" s="5" t="s">
        <v>1506</v>
      </c>
      <c r="C426" s="5" t="s">
        <v>1262</v>
      </c>
      <c r="D426" s="5" t="s">
        <v>14</v>
      </c>
      <c r="E426" s="5">
        <v>9.869044509E9</v>
      </c>
      <c r="F426" s="5" t="s">
        <v>2049</v>
      </c>
      <c r="G426" s="5">
        <v>7166684.0</v>
      </c>
      <c r="H426" s="35">
        <v>37624.0</v>
      </c>
      <c r="I426" s="5" t="s">
        <v>156</v>
      </c>
      <c r="J426" s="5" t="s">
        <v>36</v>
      </c>
      <c r="K426" s="5" t="b">
        <v>0</v>
      </c>
      <c r="L426" s="5" t="b">
        <v>0</v>
      </c>
      <c r="N426" s="5">
        <v>12000.0</v>
      </c>
      <c r="O426" s="5">
        <v>0.0</v>
      </c>
      <c r="P426" s="5">
        <v>0.0</v>
      </c>
      <c r="R426" s="5" t="b">
        <v>0</v>
      </c>
      <c r="U426" s="5" t="s">
        <v>1517</v>
      </c>
      <c r="V426" s="5" t="s">
        <v>1508</v>
      </c>
      <c r="W426" s="5" t="s">
        <v>1548</v>
      </c>
      <c r="X426" s="5" t="s">
        <v>1509</v>
      </c>
      <c r="Z426" s="5">
        <v>12000.0</v>
      </c>
      <c r="AB426" s="5">
        <v>0.0</v>
      </c>
      <c r="AC426" s="5" t="s">
        <v>1510</v>
      </c>
      <c r="AD426" s="5" t="s">
        <v>1511</v>
      </c>
      <c r="AE426" s="5">
        <v>1045.0</v>
      </c>
      <c r="AF426" s="36">
        <v>46094.99827886574</v>
      </c>
      <c r="AG426" s="5" t="s">
        <v>1549</v>
      </c>
    </row>
    <row r="427" ht="22.5" hidden="1" customHeight="1">
      <c r="A427" s="5" t="s">
        <v>2050</v>
      </c>
      <c r="B427" s="5" t="s">
        <v>1506</v>
      </c>
      <c r="C427" s="5" t="s">
        <v>460</v>
      </c>
      <c r="D427" s="5" t="s">
        <v>14</v>
      </c>
      <c r="E427" s="5">
        <v>9.765149456E9</v>
      </c>
      <c r="F427" s="5" t="s">
        <v>461</v>
      </c>
      <c r="H427" s="35">
        <v>28143.0</v>
      </c>
      <c r="I427" s="5" t="s">
        <v>16</v>
      </c>
      <c r="J427" s="5" t="s">
        <v>39</v>
      </c>
      <c r="K427" s="5" t="b">
        <v>0</v>
      </c>
      <c r="L427" s="5" t="b">
        <v>0</v>
      </c>
      <c r="N427" s="5">
        <v>3000.0</v>
      </c>
      <c r="O427" s="5">
        <v>0.0</v>
      </c>
      <c r="P427" s="5">
        <v>0.0</v>
      </c>
      <c r="R427" s="5" t="b">
        <v>0</v>
      </c>
      <c r="U427" s="5" t="s">
        <v>1517</v>
      </c>
      <c r="V427" s="5" t="s">
        <v>1508</v>
      </c>
      <c r="W427" s="5" t="s">
        <v>1508</v>
      </c>
      <c r="X427" s="5" t="s">
        <v>1509</v>
      </c>
      <c r="Z427" s="5">
        <v>2400.0</v>
      </c>
      <c r="AA427" s="5" t="s">
        <v>1591</v>
      </c>
      <c r="AB427" s="5">
        <v>600.0</v>
      </c>
      <c r="AC427" s="5" t="s">
        <v>1510</v>
      </c>
      <c r="AE427" s="5">
        <v>3049.0</v>
      </c>
      <c r="AF427" s="36">
        <v>46094.57873645833</v>
      </c>
    </row>
    <row r="428" ht="22.5" hidden="1" customHeight="1">
      <c r="A428" s="5" t="s">
        <v>2051</v>
      </c>
      <c r="B428" s="5" t="s">
        <v>1506</v>
      </c>
      <c r="C428" s="5" t="s">
        <v>753</v>
      </c>
      <c r="D428" s="5" t="s">
        <v>14</v>
      </c>
      <c r="E428" s="5">
        <v>9.813591849E9</v>
      </c>
      <c r="F428" s="5" t="s">
        <v>754</v>
      </c>
      <c r="G428" s="5">
        <v>5848660.0</v>
      </c>
      <c r="H428" s="35">
        <v>35677.0</v>
      </c>
      <c r="I428" s="5" t="s">
        <v>156</v>
      </c>
      <c r="J428" s="5" t="s">
        <v>39</v>
      </c>
      <c r="K428" s="5" t="b">
        <v>0</v>
      </c>
      <c r="L428" s="5" t="b">
        <v>0</v>
      </c>
      <c r="N428" s="5">
        <v>3000.0</v>
      </c>
      <c r="O428" s="5">
        <v>0.0</v>
      </c>
      <c r="P428" s="5">
        <v>0.0</v>
      </c>
      <c r="R428" s="5" t="b">
        <v>0</v>
      </c>
      <c r="U428" s="5" t="s">
        <v>1519</v>
      </c>
      <c r="V428" s="5" t="s">
        <v>1508</v>
      </c>
      <c r="W428" s="5" t="s">
        <v>1508</v>
      </c>
      <c r="X428" s="5" t="s">
        <v>1509</v>
      </c>
      <c r="Z428" s="5">
        <v>3000.0</v>
      </c>
      <c r="AB428" s="5">
        <v>0.0</v>
      </c>
      <c r="AC428" s="5" t="s">
        <v>1510</v>
      </c>
      <c r="AE428" s="5">
        <v>3048.0</v>
      </c>
      <c r="AF428" s="36">
        <v>46094.53811858796</v>
      </c>
    </row>
    <row r="429" ht="22.5" hidden="1" customHeight="1">
      <c r="A429" s="5" t="s">
        <v>2052</v>
      </c>
      <c r="B429" s="5" t="s">
        <v>1506</v>
      </c>
      <c r="C429" s="5" t="s">
        <v>2053</v>
      </c>
      <c r="D429" s="5" t="s">
        <v>14</v>
      </c>
      <c r="E429" s="5">
        <v>9.843612873E9</v>
      </c>
      <c r="F429" s="5" t="s">
        <v>756</v>
      </c>
      <c r="H429" s="35">
        <v>32912.0</v>
      </c>
      <c r="I429" s="5" t="s">
        <v>156</v>
      </c>
      <c r="J429" s="5" t="s">
        <v>39</v>
      </c>
      <c r="K429" s="5" t="b">
        <v>0</v>
      </c>
      <c r="L429" s="5" t="b">
        <v>0</v>
      </c>
      <c r="N429" s="5">
        <v>3000.0</v>
      </c>
      <c r="O429" s="5">
        <v>0.0</v>
      </c>
      <c r="P429" s="5">
        <v>0.0</v>
      </c>
      <c r="R429" s="5" t="b">
        <v>0</v>
      </c>
      <c r="U429" s="5" t="s">
        <v>1517</v>
      </c>
      <c r="V429" s="5" t="s">
        <v>1508</v>
      </c>
      <c r="W429" s="5" t="s">
        <v>1508</v>
      </c>
      <c r="X429" s="5" t="s">
        <v>1509</v>
      </c>
      <c r="Z429" s="5">
        <v>3000.0</v>
      </c>
      <c r="AB429" s="5">
        <v>0.0</v>
      </c>
      <c r="AC429" s="5" t="s">
        <v>1510</v>
      </c>
      <c r="AE429" s="5">
        <v>3047.0</v>
      </c>
      <c r="AF429" s="36">
        <v>46094.47674193287</v>
      </c>
    </row>
    <row r="430" ht="22.5" hidden="1" customHeight="1">
      <c r="A430" s="5" t="s">
        <v>2054</v>
      </c>
      <c r="B430" s="5" t="s">
        <v>1506</v>
      </c>
      <c r="C430" s="5" t="s">
        <v>1188</v>
      </c>
      <c r="D430" s="5" t="s">
        <v>14</v>
      </c>
      <c r="E430" s="5">
        <v>9.813332585E9</v>
      </c>
      <c r="F430" s="5" t="s">
        <v>1189</v>
      </c>
      <c r="G430" s="5">
        <v>7172676.0</v>
      </c>
      <c r="H430" s="35">
        <v>36737.0</v>
      </c>
      <c r="I430" s="5" t="s">
        <v>16</v>
      </c>
      <c r="J430" s="5" t="s">
        <v>42</v>
      </c>
      <c r="K430" s="5" t="b">
        <v>0</v>
      </c>
      <c r="L430" s="5" t="b">
        <v>0</v>
      </c>
      <c r="N430" s="5">
        <v>7500.0</v>
      </c>
      <c r="O430" s="5">
        <v>0.0</v>
      </c>
      <c r="P430" s="5">
        <v>0.0</v>
      </c>
      <c r="R430" s="5" t="b">
        <v>0</v>
      </c>
      <c r="U430" s="5" t="s">
        <v>1519</v>
      </c>
      <c r="V430" s="5" t="s">
        <v>1508</v>
      </c>
      <c r="W430" s="5" t="s">
        <v>1508</v>
      </c>
      <c r="X430" s="5" t="s">
        <v>1509</v>
      </c>
      <c r="Z430" s="5">
        <v>5625.0</v>
      </c>
      <c r="AA430" s="5" t="s">
        <v>1979</v>
      </c>
      <c r="AB430" s="5">
        <v>1875.0</v>
      </c>
      <c r="AC430" s="5" t="s">
        <v>1510</v>
      </c>
      <c r="AE430" s="5">
        <v>2063.0</v>
      </c>
      <c r="AF430" s="36">
        <v>46094.445678738426</v>
      </c>
      <c r="AG430" s="5" t="s">
        <v>2055</v>
      </c>
    </row>
    <row r="431" ht="22.5" hidden="1" customHeight="1">
      <c r="A431" s="5" t="s">
        <v>2056</v>
      </c>
      <c r="B431" s="5" t="s">
        <v>1506</v>
      </c>
      <c r="C431" s="5" t="s">
        <v>757</v>
      </c>
      <c r="D431" s="5" t="s">
        <v>14</v>
      </c>
      <c r="E431" s="25" t="s">
        <v>758</v>
      </c>
      <c r="F431" s="5" t="s">
        <v>759</v>
      </c>
      <c r="G431" s="5">
        <v>7166187.0</v>
      </c>
      <c r="H431" s="35">
        <v>35710.0</v>
      </c>
      <c r="I431" s="5" t="s">
        <v>156</v>
      </c>
      <c r="J431" s="5" t="s">
        <v>39</v>
      </c>
      <c r="K431" s="5" t="b">
        <v>0</v>
      </c>
      <c r="L431" s="5" t="b">
        <v>0</v>
      </c>
      <c r="N431" s="5">
        <v>3000.0</v>
      </c>
      <c r="O431" s="5">
        <v>0.0</v>
      </c>
      <c r="P431" s="5">
        <v>0.0</v>
      </c>
      <c r="R431" s="5" t="b">
        <v>0</v>
      </c>
      <c r="U431" s="5" t="s">
        <v>1514</v>
      </c>
      <c r="V431" s="5" t="s">
        <v>1508</v>
      </c>
      <c r="W431" s="5" t="s">
        <v>1508</v>
      </c>
      <c r="X431" s="5" t="s">
        <v>1509</v>
      </c>
      <c r="Z431" s="5">
        <v>3000.0</v>
      </c>
      <c r="AB431" s="5">
        <v>0.0</v>
      </c>
      <c r="AC431" s="5" t="s">
        <v>1510</v>
      </c>
      <c r="AE431" s="5">
        <v>3046.0</v>
      </c>
      <c r="AF431" s="36">
        <v>46094.29563393519</v>
      </c>
    </row>
    <row r="432" ht="22.5" hidden="1" customHeight="1">
      <c r="A432" s="5" t="s">
        <v>2057</v>
      </c>
      <c r="B432" s="5" t="s">
        <v>1506</v>
      </c>
      <c r="C432" s="5" t="s">
        <v>760</v>
      </c>
      <c r="D432" s="5" t="s">
        <v>14</v>
      </c>
      <c r="E432" s="25" t="s">
        <v>761</v>
      </c>
      <c r="F432" s="5" t="s">
        <v>762</v>
      </c>
      <c r="G432" s="5">
        <v>7160618.0</v>
      </c>
      <c r="H432" s="35">
        <v>35575.0</v>
      </c>
      <c r="I432" s="5" t="s">
        <v>156</v>
      </c>
      <c r="J432" s="5" t="s">
        <v>39</v>
      </c>
      <c r="K432" s="5" t="b">
        <v>0</v>
      </c>
      <c r="L432" s="5" t="b">
        <v>0</v>
      </c>
      <c r="N432" s="5">
        <v>3000.0</v>
      </c>
      <c r="O432" s="5">
        <v>0.0</v>
      </c>
      <c r="P432" s="5">
        <v>0.0</v>
      </c>
      <c r="R432" s="5" t="b">
        <v>0</v>
      </c>
      <c r="U432" s="5" t="s">
        <v>1578</v>
      </c>
      <c r="V432" s="5" t="s">
        <v>1508</v>
      </c>
      <c r="W432" s="5" t="s">
        <v>1508</v>
      </c>
      <c r="X432" s="5" t="s">
        <v>1509</v>
      </c>
      <c r="Z432" s="5">
        <v>2250.0</v>
      </c>
      <c r="AA432" s="5" t="s">
        <v>1979</v>
      </c>
      <c r="AB432" s="5">
        <v>750.0</v>
      </c>
      <c r="AC432" s="5" t="s">
        <v>1510</v>
      </c>
      <c r="AE432" s="5">
        <v>3045.0</v>
      </c>
      <c r="AF432" s="36">
        <v>46093.54362842593</v>
      </c>
    </row>
    <row r="433" ht="22.5" hidden="1" customHeight="1">
      <c r="A433" s="5" t="s">
        <v>2058</v>
      </c>
      <c r="B433" s="5" t="s">
        <v>1506</v>
      </c>
      <c r="C433" s="5" t="s">
        <v>763</v>
      </c>
      <c r="D433" s="5" t="s">
        <v>14</v>
      </c>
      <c r="E433" s="5">
        <v>9.843857682E9</v>
      </c>
      <c r="F433" s="5" t="s">
        <v>764</v>
      </c>
      <c r="G433" s="5">
        <v>7160615.0</v>
      </c>
      <c r="H433" s="35">
        <v>34994.0</v>
      </c>
      <c r="I433" s="5" t="s">
        <v>156</v>
      </c>
      <c r="J433" s="5" t="s">
        <v>39</v>
      </c>
      <c r="K433" s="5" t="b">
        <v>0</v>
      </c>
      <c r="L433" s="5" t="b">
        <v>0</v>
      </c>
      <c r="N433" s="5">
        <v>3000.0</v>
      </c>
      <c r="O433" s="5">
        <v>0.0</v>
      </c>
      <c r="P433" s="5">
        <v>0.0</v>
      </c>
      <c r="R433" s="5" t="b">
        <v>0</v>
      </c>
      <c r="U433" s="5" t="s">
        <v>1517</v>
      </c>
      <c r="V433" s="5" t="s">
        <v>1508</v>
      </c>
      <c r="W433" s="5" t="s">
        <v>1508</v>
      </c>
      <c r="X433" s="5" t="s">
        <v>1509</v>
      </c>
      <c r="Z433" s="5">
        <v>2250.0</v>
      </c>
      <c r="AA433" s="5" t="s">
        <v>1979</v>
      </c>
      <c r="AB433" s="5">
        <v>750.0</v>
      </c>
      <c r="AC433" s="5" t="s">
        <v>1510</v>
      </c>
      <c r="AE433" s="5">
        <v>3044.0</v>
      </c>
      <c r="AF433" s="36">
        <v>46093.54169825232</v>
      </c>
    </row>
    <row r="434" ht="22.5" hidden="1" customHeight="1">
      <c r="A434" s="5" t="s">
        <v>2059</v>
      </c>
      <c r="B434" s="5" t="s">
        <v>1506</v>
      </c>
      <c r="C434" s="5" t="s">
        <v>2060</v>
      </c>
      <c r="D434" s="5" t="s">
        <v>14</v>
      </c>
      <c r="E434" s="5">
        <v>9.803036481E9</v>
      </c>
      <c r="F434" s="5" t="s">
        <v>1191</v>
      </c>
      <c r="G434" s="5">
        <v>6699141.0</v>
      </c>
      <c r="H434" s="35">
        <v>37166.0</v>
      </c>
      <c r="I434" s="5" t="s">
        <v>16</v>
      </c>
      <c r="J434" s="5" t="s">
        <v>42</v>
      </c>
      <c r="K434" s="5" t="b">
        <v>0</v>
      </c>
      <c r="L434" s="5" t="b">
        <v>0</v>
      </c>
      <c r="N434" s="5">
        <v>7500.0</v>
      </c>
      <c r="O434" s="5">
        <v>0.0</v>
      </c>
      <c r="P434" s="5">
        <v>0.0</v>
      </c>
      <c r="R434" s="5" t="b">
        <v>0</v>
      </c>
      <c r="U434" s="5" t="s">
        <v>1507</v>
      </c>
      <c r="V434" s="5" t="s">
        <v>1508</v>
      </c>
      <c r="W434" s="5" t="s">
        <v>1548</v>
      </c>
      <c r="X434" s="5" t="s">
        <v>1509</v>
      </c>
      <c r="Z434" s="5">
        <v>5625.0</v>
      </c>
      <c r="AA434" s="5" t="s">
        <v>1979</v>
      </c>
      <c r="AB434" s="5">
        <v>1875.0</v>
      </c>
      <c r="AC434" s="5" t="s">
        <v>1510</v>
      </c>
      <c r="AE434" s="5">
        <v>2062.0</v>
      </c>
      <c r="AF434" s="36">
        <v>46093.54014802083</v>
      </c>
      <c r="AG434" s="5" t="s">
        <v>2061</v>
      </c>
    </row>
    <row r="435" ht="22.5" hidden="1" customHeight="1">
      <c r="A435" s="5" t="s">
        <v>2062</v>
      </c>
      <c r="B435" s="5" t="s">
        <v>1506</v>
      </c>
      <c r="C435" s="5" t="s">
        <v>1264</v>
      </c>
      <c r="D435" s="5" t="s">
        <v>14</v>
      </c>
      <c r="E435" s="5">
        <v>9.841737438E9</v>
      </c>
      <c r="F435" s="5" t="s">
        <v>1265</v>
      </c>
      <c r="G435" s="5">
        <v>6059219.0</v>
      </c>
      <c r="H435" s="35">
        <v>34582.0</v>
      </c>
      <c r="I435" s="5" t="s">
        <v>156</v>
      </c>
      <c r="J435" s="5" t="s">
        <v>36</v>
      </c>
      <c r="K435" s="5" t="b">
        <v>0</v>
      </c>
      <c r="L435" s="5" t="b">
        <v>0</v>
      </c>
      <c r="N435" s="5">
        <v>12000.0</v>
      </c>
      <c r="O435" s="5">
        <v>0.0</v>
      </c>
      <c r="P435" s="5">
        <v>0.0</v>
      </c>
      <c r="R435" s="5" t="b">
        <v>0</v>
      </c>
      <c r="U435" s="5" t="s">
        <v>1514</v>
      </c>
      <c r="V435" s="5" t="s">
        <v>1508</v>
      </c>
      <c r="W435" s="5" t="s">
        <v>1508</v>
      </c>
      <c r="X435" s="5" t="s">
        <v>1509</v>
      </c>
      <c r="Z435" s="5">
        <v>9000.0</v>
      </c>
      <c r="AA435" s="5" t="s">
        <v>1979</v>
      </c>
      <c r="AB435" s="5">
        <v>3000.0</v>
      </c>
      <c r="AC435" s="5" t="s">
        <v>1510</v>
      </c>
      <c r="AE435" s="5">
        <v>1052.0</v>
      </c>
      <c r="AF435" s="36">
        <v>46093.39800260417</v>
      </c>
    </row>
    <row r="436" ht="22.5" hidden="1" customHeight="1">
      <c r="A436" s="5" t="s">
        <v>2063</v>
      </c>
      <c r="B436" s="5" t="s">
        <v>1506</v>
      </c>
      <c r="C436" s="5" t="s">
        <v>1196</v>
      </c>
      <c r="D436" s="5" t="s">
        <v>14</v>
      </c>
      <c r="E436" s="5">
        <v>9.749214274E9</v>
      </c>
      <c r="F436" s="5" t="s">
        <v>1197</v>
      </c>
      <c r="G436" s="5" t="s">
        <v>1198</v>
      </c>
      <c r="H436" s="35">
        <v>38772.0</v>
      </c>
      <c r="I436" s="5" t="s">
        <v>16</v>
      </c>
      <c r="J436" s="5" t="s">
        <v>36</v>
      </c>
      <c r="K436" s="5" t="b">
        <v>0</v>
      </c>
      <c r="L436" s="5" t="b">
        <v>0</v>
      </c>
      <c r="N436" s="5">
        <v>12000.0</v>
      </c>
      <c r="O436" s="5">
        <v>0.0</v>
      </c>
      <c r="P436" s="5">
        <v>0.0</v>
      </c>
      <c r="R436" s="5" t="b">
        <v>0</v>
      </c>
      <c r="U436" s="5" t="s">
        <v>1519</v>
      </c>
      <c r="V436" s="5" t="s">
        <v>1508</v>
      </c>
      <c r="W436" s="5" t="s">
        <v>1508</v>
      </c>
      <c r="X436" s="5" t="s">
        <v>1509</v>
      </c>
      <c r="Z436" s="5">
        <v>0.0</v>
      </c>
      <c r="AA436" s="5" t="s">
        <v>779</v>
      </c>
      <c r="AB436" s="5">
        <v>12000.0</v>
      </c>
      <c r="AC436" s="5" t="s">
        <v>1510</v>
      </c>
      <c r="AD436" s="5" t="s">
        <v>1511</v>
      </c>
      <c r="AE436" s="5">
        <v>1040.0</v>
      </c>
      <c r="AF436" s="36">
        <v>46093.18198486111</v>
      </c>
    </row>
    <row r="437" ht="22.5" hidden="1" customHeight="1">
      <c r="A437" s="5" t="s">
        <v>2064</v>
      </c>
      <c r="B437" s="5" t="s">
        <v>1506</v>
      </c>
      <c r="C437" s="5" t="s">
        <v>765</v>
      </c>
      <c r="D437" s="5" t="s">
        <v>14</v>
      </c>
      <c r="E437" s="5">
        <v>9.863012526E9</v>
      </c>
      <c r="F437" s="5" t="s">
        <v>766</v>
      </c>
      <c r="H437" s="35">
        <v>35800.0</v>
      </c>
      <c r="I437" s="5" t="s">
        <v>156</v>
      </c>
      <c r="J437" s="5" t="s">
        <v>39</v>
      </c>
      <c r="K437" s="5" t="b">
        <v>0</v>
      </c>
      <c r="L437" s="5" t="b">
        <v>0</v>
      </c>
      <c r="N437" s="5">
        <v>3000.0</v>
      </c>
      <c r="O437" s="5">
        <v>0.0</v>
      </c>
      <c r="P437" s="5">
        <v>0.0</v>
      </c>
      <c r="R437" s="5" t="b">
        <v>0</v>
      </c>
      <c r="U437" s="5" t="s">
        <v>1514</v>
      </c>
      <c r="V437" s="5" t="s">
        <v>1508</v>
      </c>
      <c r="W437" s="5" t="s">
        <v>1548</v>
      </c>
      <c r="X437" s="5" t="s">
        <v>1509</v>
      </c>
      <c r="Z437" s="5">
        <v>2250.0</v>
      </c>
      <c r="AA437" s="5" t="s">
        <v>1979</v>
      </c>
      <c r="AB437" s="5">
        <v>750.0</v>
      </c>
      <c r="AC437" s="5" t="s">
        <v>1510</v>
      </c>
      <c r="AE437" s="5">
        <v>3043.0</v>
      </c>
      <c r="AF437" s="36">
        <v>46092.702073472225</v>
      </c>
      <c r="AG437" s="5" t="s">
        <v>1549</v>
      </c>
    </row>
    <row r="438" ht="22.5" hidden="1" customHeight="1">
      <c r="A438" s="5" t="s">
        <v>2065</v>
      </c>
      <c r="B438" s="5" t="s">
        <v>1506</v>
      </c>
      <c r="C438" s="5" t="s">
        <v>767</v>
      </c>
      <c r="D438" s="5" t="s">
        <v>14</v>
      </c>
      <c r="E438" s="5">
        <v>9.8607223E9</v>
      </c>
      <c r="F438" s="5" t="s">
        <v>768</v>
      </c>
      <c r="H438" s="35">
        <v>35674.0</v>
      </c>
      <c r="I438" s="5" t="s">
        <v>156</v>
      </c>
      <c r="J438" s="5" t="s">
        <v>39</v>
      </c>
      <c r="K438" s="5" t="b">
        <v>0</v>
      </c>
      <c r="L438" s="5" t="b">
        <v>0</v>
      </c>
      <c r="N438" s="5">
        <v>3000.0</v>
      </c>
      <c r="O438" s="5">
        <v>0.0</v>
      </c>
      <c r="P438" s="5">
        <v>0.0</v>
      </c>
      <c r="R438" s="5" t="b">
        <v>0</v>
      </c>
      <c r="U438" s="5" t="s">
        <v>1517</v>
      </c>
      <c r="V438" s="5" t="s">
        <v>1508</v>
      </c>
      <c r="W438" s="5" t="s">
        <v>1508</v>
      </c>
      <c r="X438" s="5" t="s">
        <v>1509</v>
      </c>
      <c r="Z438" s="5">
        <v>2250.0</v>
      </c>
      <c r="AA438" s="5" t="s">
        <v>1979</v>
      </c>
      <c r="AB438" s="5">
        <v>750.0</v>
      </c>
      <c r="AC438" s="5" t="s">
        <v>1510</v>
      </c>
      <c r="AD438" s="5" t="s">
        <v>1551</v>
      </c>
      <c r="AE438" s="5">
        <v>3011.0</v>
      </c>
      <c r="AF438" s="36">
        <v>46092.65000581019</v>
      </c>
    </row>
    <row r="439" ht="22.5" hidden="1" customHeight="1">
      <c r="A439" s="5" t="s">
        <v>2066</v>
      </c>
      <c r="B439" s="5" t="s">
        <v>1506</v>
      </c>
      <c r="C439" s="5" t="s">
        <v>1058</v>
      </c>
      <c r="D439" s="5" t="s">
        <v>14</v>
      </c>
      <c r="E439" s="5">
        <v>9.845978411E9</v>
      </c>
      <c r="F439" s="5" t="s">
        <v>1059</v>
      </c>
      <c r="G439" s="5">
        <v>7171923.0</v>
      </c>
      <c r="H439" s="35">
        <v>36734.0</v>
      </c>
      <c r="I439" s="5" t="s">
        <v>156</v>
      </c>
      <c r="J439" s="5" t="s">
        <v>42</v>
      </c>
      <c r="K439" s="5" t="b">
        <v>0</v>
      </c>
      <c r="L439" s="5" t="b">
        <v>0</v>
      </c>
      <c r="N439" s="5">
        <v>7500.0</v>
      </c>
      <c r="O439" s="5">
        <v>0.0</v>
      </c>
      <c r="P439" s="5">
        <v>0.0</v>
      </c>
      <c r="R439" s="5" t="b">
        <v>0</v>
      </c>
      <c r="U439" s="5" t="s">
        <v>1514</v>
      </c>
      <c r="V439" s="5" t="s">
        <v>1508</v>
      </c>
      <c r="W439" s="5" t="s">
        <v>1508</v>
      </c>
      <c r="X439" s="5" t="s">
        <v>1509</v>
      </c>
      <c r="Z439" s="5">
        <v>5625.0</v>
      </c>
      <c r="AA439" s="5" t="s">
        <v>1979</v>
      </c>
      <c r="AB439" s="5">
        <v>1875.0</v>
      </c>
      <c r="AC439" s="5" t="s">
        <v>1510</v>
      </c>
      <c r="AE439" s="5">
        <v>2061.0</v>
      </c>
      <c r="AF439" s="36">
        <v>46092.63690225694</v>
      </c>
      <c r="AG439" s="5" t="s">
        <v>2067</v>
      </c>
    </row>
    <row r="440" ht="22.5" hidden="1" customHeight="1">
      <c r="A440" s="5" t="s">
        <v>2068</v>
      </c>
      <c r="B440" s="5" t="s">
        <v>1506</v>
      </c>
      <c r="C440" s="5" t="s">
        <v>2069</v>
      </c>
      <c r="D440" s="5" t="s">
        <v>918</v>
      </c>
      <c r="E440" s="25" t="s">
        <v>919</v>
      </c>
      <c r="F440" s="5" t="s">
        <v>920</v>
      </c>
      <c r="H440" s="35">
        <v>32495.0</v>
      </c>
      <c r="I440" s="5" t="s">
        <v>16</v>
      </c>
      <c r="J440" s="5" t="s">
        <v>42</v>
      </c>
      <c r="K440" s="5" t="b">
        <v>0</v>
      </c>
      <c r="L440" s="5" t="b">
        <v>0</v>
      </c>
      <c r="N440" s="5">
        <v>80.0</v>
      </c>
      <c r="O440" s="5">
        <v>0.0</v>
      </c>
      <c r="P440" s="5">
        <v>0.0</v>
      </c>
      <c r="R440" s="5" t="b">
        <v>0</v>
      </c>
      <c r="U440" s="5" t="s">
        <v>1507</v>
      </c>
      <c r="V440" s="5" t="s">
        <v>1508</v>
      </c>
      <c r="W440" s="5" t="s">
        <v>1548</v>
      </c>
      <c r="X440" s="5" t="s">
        <v>1509</v>
      </c>
      <c r="Z440" s="5">
        <v>80.0</v>
      </c>
      <c r="AB440" s="5">
        <v>0.0</v>
      </c>
      <c r="AC440" s="5" t="s">
        <v>1546</v>
      </c>
      <c r="AD440" s="5" t="s">
        <v>1511</v>
      </c>
      <c r="AE440" s="5">
        <v>2042.0</v>
      </c>
      <c r="AF440" s="36">
        <v>46092.61828243056</v>
      </c>
      <c r="AG440" s="5" t="s">
        <v>1549</v>
      </c>
    </row>
    <row r="441" ht="22.5" hidden="1" customHeight="1">
      <c r="A441" s="5" t="s">
        <v>2070</v>
      </c>
      <c r="B441" s="5" t="s">
        <v>1506</v>
      </c>
      <c r="C441" s="5" t="s">
        <v>1266</v>
      </c>
      <c r="D441" s="5" t="s">
        <v>14</v>
      </c>
      <c r="E441" s="5">
        <v>9.849899496E9</v>
      </c>
      <c r="F441" s="5" t="s">
        <v>1267</v>
      </c>
      <c r="G441" s="5">
        <v>5257438.0</v>
      </c>
      <c r="H441" s="35">
        <v>33545.0</v>
      </c>
      <c r="I441" s="5" t="s">
        <v>156</v>
      </c>
      <c r="J441" s="5" t="s">
        <v>36</v>
      </c>
      <c r="K441" s="5" t="b">
        <v>0</v>
      </c>
      <c r="L441" s="5" t="b">
        <v>0</v>
      </c>
      <c r="N441" s="5">
        <v>12000.0</v>
      </c>
      <c r="O441" s="5">
        <v>0.0</v>
      </c>
      <c r="P441" s="5">
        <v>0.0</v>
      </c>
      <c r="R441" s="5" t="b">
        <v>0</v>
      </c>
      <c r="U441" s="5" t="s">
        <v>1517</v>
      </c>
      <c r="V441" s="5" t="s">
        <v>1508</v>
      </c>
      <c r="W441" s="5" t="s">
        <v>1508</v>
      </c>
      <c r="X441" s="5" t="s">
        <v>1509</v>
      </c>
      <c r="Z441" s="5">
        <v>9000.0</v>
      </c>
      <c r="AA441" s="5" t="s">
        <v>1556</v>
      </c>
      <c r="AB441" s="5">
        <v>3000.0</v>
      </c>
      <c r="AC441" s="5" t="s">
        <v>1510</v>
      </c>
      <c r="AE441" s="5">
        <v>1051.0</v>
      </c>
      <c r="AF441" s="36">
        <v>46092.473182256945</v>
      </c>
    </row>
    <row r="442" ht="22.5" hidden="1" customHeight="1">
      <c r="A442" s="5" t="s">
        <v>2071</v>
      </c>
      <c r="B442" s="5" t="s">
        <v>1506</v>
      </c>
      <c r="C442" s="5" t="s">
        <v>769</v>
      </c>
      <c r="D442" s="5" t="s">
        <v>14</v>
      </c>
      <c r="E442" s="5">
        <v>9.860874992E9</v>
      </c>
      <c r="F442" s="5" t="s">
        <v>770</v>
      </c>
      <c r="H442" s="35">
        <v>36458.0</v>
      </c>
      <c r="I442" s="5" t="s">
        <v>156</v>
      </c>
      <c r="J442" s="5" t="s">
        <v>39</v>
      </c>
      <c r="K442" s="5" t="b">
        <v>0</v>
      </c>
      <c r="L442" s="5" t="b">
        <v>0</v>
      </c>
      <c r="N442" s="5">
        <v>3000.0</v>
      </c>
      <c r="O442" s="5">
        <v>0.0</v>
      </c>
      <c r="P442" s="5">
        <v>0.0</v>
      </c>
      <c r="R442" s="5" t="b">
        <v>0</v>
      </c>
      <c r="U442" s="5" t="s">
        <v>1514</v>
      </c>
      <c r="V442" s="5" t="s">
        <v>1508</v>
      </c>
      <c r="W442" s="5" t="s">
        <v>1548</v>
      </c>
      <c r="X442" s="5" t="s">
        <v>1509</v>
      </c>
      <c r="Z442" s="5">
        <v>3000.0</v>
      </c>
      <c r="AB442" s="5">
        <v>0.0</v>
      </c>
      <c r="AC442" s="5" t="s">
        <v>1510</v>
      </c>
      <c r="AE442" s="5">
        <v>3042.0</v>
      </c>
      <c r="AF442" s="36">
        <v>46092.45880678241</v>
      </c>
      <c r="AG442" s="5" t="s">
        <v>1549</v>
      </c>
    </row>
    <row r="443" ht="22.5" customHeight="1">
      <c r="A443" s="5" t="s">
        <v>2072</v>
      </c>
      <c r="B443" s="5" t="s">
        <v>1506</v>
      </c>
      <c r="C443" s="5" t="s">
        <v>2073</v>
      </c>
      <c r="D443" s="5" t="s">
        <v>14</v>
      </c>
      <c r="E443" s="5">
        <v>9.76179178E9</v>
      </c>
      <c r="F443" s="5" t="s">
        <v>342</v>
      </c>
      <c r="H443" s="35">
        <v>40025.0</v>
      </c>
      <c r="I443" s="5" t="s">
        <v>156</v>
      </c>
      <c r="J443" s="5" t="s">
        <v>17</v>
      </c>
      <c r="K443" s="5" t="b">
        <v>0</v>
      </c>
      <c r="L443" s="5" t="b">
        <v>0</v>
      </c>
      <c r="N443" s="5">
        <v>1500.0</v>
      </c>
      <c r="O443" s="5">
        <v>0.0</v>
      </c>
      <c r="P443" s="5">
        <v>0.0</v>
      </c>
      <c r="R443" s="5" t="b">
        <v>0</v>
      </c>
      <c r="U443" s="5" t="s">
        <v>1519</v>
      </c>
      <c r="V443" s="5" t="s">
        <v>1508</v>
      </c>
      <c r="W443" s="5" t="s">
        <v>1508</v>
      </c>
      <c r="X443" s="5" t="s">
        <v>1509</v>
      </c>
      <c r="Z443" s="5">
        <v>1200.0</v>
      </c>
      <c r="AA443" s="5" t="s">
        <v>1591</v>
      </c>
      <c r="AB443" s="5">
        <v>300.0</v>
      </c>
      <c r="AC443" s="5" t="s">
        <v>1510</v>
      </c>
      <c r="AD443" s="5" t="s">
        <v>1511</v>
      </c>
      <c r="AE443" s="5">
        <v>4008.0</v>
      </c>
      <c r="AF443" s="36">
        <v>46092.15558344907</v>
      </c>
    </row>
    <row r="444" ht="22.5" hidden="1" customHeight="1">
      <c r="A444" s="5" t="s">
        <v>2074</v>
      </c>
      <c r="B444" s="5" t="s">
        <v>1506</v>
      </c>
      <c r="C444" s="5" t="s">
        <v>1350</v>
      </c>
      <c r="D444" s="5" t="s">
        <v>938</v>
      </c>
      <c r="E444" s="25" t="s">
        <v>1351</v>
      </c>
      <c r="F444" s="5" t="s">
        <v>1352</v>
      </c>
      <c r="G444" s="5">
        <v>1212575.0</v>
      </c>
      <c r="H444" s="35">
        <v>26710.0</v>
      </c>
      <c r="I444" s="5" t="s">
        <v>156</v>
      </c>
      <c r="J444" s="5" t="s">
        <v>36</v>
      </c>
      <c r="K444" s="5" t="b">
        <v>0</v>
      </c>
      <c r="L444" s="5" t="b">
        <v>0</v>
      </c>
      <c r="N444" s="5">
        <v>150.0</v>
      </c>
      <c r="O444" s="5">
        <v>0.0</v>
      </c>
      <c r="P444" s="5">
        <v>0.0</v>
      </c>
      <c r="R444" s="5" t="b">
        <v>0</v>
      </c>
      <c r="U444" s="5" t="s">
        <v>1517</v>
      </c>
      <c r="V444" s="5" t="s">
        <v>1508</v>
      </c>
      <c r="W444" s="5" t="s">
        <v>1548</v>
      </c>
      <c r="X444" s="5" t="s">
        <v>1509</v>
      </c>
      <c r="Z444" s="5">
        <v>150.0</v>
      </c>
      <c r="AB444" s="5">
        <v>0.0</v>
      </c>
      <c r="AC444" s="5" t="s">
        <v>1546</v>
      </c>
      <c r="AD444" s="5" t="s">
        <v>1511</v>
      </c>
      <c r="AE444" s="5">
        <v>1039.0</v>
      </c>
      <c r="AF444" s="36">
        <v>46092.06937828704</v>
      </c>
      <c r="AG444" s="5" t="s">
        <v>1549</v>
      </c>
    </row>
    <row r="445" ht="22.5" hidden="1" customHeight="1">
      <c r="A445" s="5" t="s">
        <v>2075</v>
      </c>
      <c r="B445" s="5" t="s">
        <v>1506</v>
      </c>
      <c r="C445" s="5" t="s">
        <v>2076</v>
      </c>
      <c r="D445" s="5" t="s">
        <v>14</v>
      </c>
      <c r="E445" s="5">
        <v>9.841834791E9</v>
      </c>
      <c r="F445" s="5" t="s">
        <v>463</v>
      </c>
      <c r="H445" s="35">
        <v>30541.0</v>
      </c>
      <c r="I445" s="5" t="s">
        <v>16</v>
      </c>
      <c r="J445" s="5" t="s">
        <v>39</v>
      </c>
      <c r="K445" s="5" t="b">
        <v>0</v>
      </c>
      <c r="L445" s="5" t="b">
        <v>0</v>
      </c>
      <c r="N445" s="5">
        <v>3000.0</v>
      </c>
      <c r="O445" s="5">
        <v>0.0</v>
      </c>
      <c r="P445" s="5">
        <v>0.0</v>
      </c>
      <c r="R445" s="5" t="b">
        <v>0</v>
      </c>
      <c r="U445" s="5" t="s">
        <v>1514</v>
      </c>
      <c r="V445" s="5" t="s">
        <v>1508</v>
      </c>
      <c r="W445" s="5" t="s">
        <v>1548</v>
      </c>
      <c r="X445" s="5" t="s">
        <v>1509</v>
      </c>
      <c r="Z445" s="5">
        <v>2250.0</v>
      </c>
      <c r="AA445" s="5" t="s">
        <v>1556</v>
      </c>
      <c r="AB445" s="5">
        <v>750.0</v>
      </c>
      <c r="AC445" s="5" t="s">
        <v>1510</v>
      </c>
      <c r="AE445" s="5">
        <v>3041.0</v>
      </c>
      <c r="AF445" s="36">
        <v>46091.39096827546</v>
      </c>
      <c r="AG445" s="5" t="s">
        <v>1549</v>
      </c>
    </row>
    <row r="446" ht="22.5" hidden="1" customHeight="1">
      <c r="A446" s="5" t="s">
        <v>2077</v>
      </c>
      <c r="B446" s="5" t="s">
        <v>1506</v>
      </c>
      <c r="C446" s="5" t="s">
        <v>2078</v>
      </c>
      <c r="D446" s="5" t="s">
        <v>14</v>
      </c>
      <c r="E446" s="5">
        <v>9.851101747E9</v>
      </c>
      <c r="F446" s="5" t="s">
        <v>465</v>
      </c>
      <c r="H446" s="35">
        <v>30525.0</v>
      </c>
      <c r="I446" s="5" t="s">
        <v>16</v>
      </c>
      <c r="J446" s="5" t="s">
        <v>39</v>
      </c>
      <c r="K446" s="5" t="b">
        <v>0</v>
      </c>
      <c r="L446" s="5" t="b">
        <v>0</v>
      </c>
      <c r="N446" s="5">
        <v>3000.0</v>
      </c>
      <c r="O446" s="5">
        <v>0.0</v>
      </c>
      <c r="P446" s="5">
        <v>0.0</v>
      </c>
      <c r="R446" s="5" t="b">
        <v>0</v>
      </c>
      <c r="U446" s="5" t="s">
        <v>1517</v>
      </c>
      <c r="V446" s="5" t="s">
        <v>1508</v>
      </c>
      <c r="W446" s="5" t="s">
        <v>1548</v>
      </c>
      <c r="X446" s="5" t="s">
        <v>1509</v>
      </c>
      <c r="Z446" s="5">
        <v>2250.0</v>
      </c>
      <c r="AA446" s="5" t="s">
        <v>1556</v>
      </c>
      <c r="AB446" s="5">
        <v>750.0</v>
      </c>
      <c r="AC446" s="5" t="s">
        <v>1510</v>
      </c>
      <c r="AE446" s="5">
        <v>3040.0</v>
      </c>
      <c r="AF446" s="36">
        <v>46091.38838391204</v>
      </c>
      <c r="AG446" s="5" t="s">
        <v>1549</v>
      </c>
    </row>
    <row r="447" ht="22.5" hidden="1" customHeight="1">
      <c r="A447" s="5" t="s">
        <v>2079</v>
      </c>
      <c r="B447" s="5" t="s">
        <v>1506</v>
      </c>
      <c r="C447" s="5" t="s">
        <v>2080</v>
      </c>
      <c r="D447" s="5" t="s">
        <v>14</v>
      </c>
      <c r="E447" s="25" t="s">
        <v>772</v>
      </c>
      <c r="F447" s="5" t="s">
        <v>773</v>
      </c>
      <c r="H447" s="35">
        <v>31399.0</v>
      </c>
      <c r="I447" s="5" t="s">
        <v>156</v>
      </c>
      <c r="J447" s="5" t="s">
        <v>39</v>
      </c>
      <c r="K447" s="5" t="b">
        <v>0</v>
      </c>
      <c r="L447" s="5" t="b">
        <v>0</v>
      </c>
      <c r="N447" s="5">
        <v>3000.0</v>
      </c>
      <c r="O447" s="5">
        <v>0.0</v>
      </c>
      <c r="P447" s="5">
        <v>0.0</v>
      </c>
      <c r="R447" s="5" t="b">
        <v>0</v>
      </c>
      <c r="U447" s="5" t="s">
        <v>1517</v>
      </c>
      <c r="V447" s="5" t="s">
        <v>1508</v>
      </c>
      <c r="W447" s="5" t="s">
        <v>1508</v>
      </c>
      <c r="X447" s="5" t="s">
        <v>1509</v>
      </c>
      <c r="Z447" s="5">
        <v>3000.0</v>
      </c>
      <c r="AB447" s="5">
        <v>0.0</v>
      </c>
      <c r="AC447" s="5" t="s">
        <v>1510</v>
      </c>
      <c r="AE447" s="5">
        <v>3039.0</v>
      </c>
      <c r="AF447" s="36">
        <v>46090.598091168984</v>
      </c>
    </row>
    <row r="448" ht="22.5" hidden="1" customHeight="1">
      <c r="A448" s="5" t="s">
        <v>2081</v>
      </c>
      <c r="B448" s="5" t="s">
        <v>1506</v>
      </c>
      <c r="C448" s="5" t="s">
        <v>774</v>
      </c>
      <c r="D448" s="5" t="s">
        <v>14</v>
      </c>
      <c r="E448" s="5">
        <v>9.81104897E9</v>
      </c>
      <c r="F448" s="5" t="s">
        <v>775</v>
      </c>
      <c r="G448" s="5">
        <v>7150262.0</v>
      </c>
      <c r="H448" s="35">
        <v>38571.0</v>
      </c>
      <c r="I448" s="5" t="s">
        <v>156</v>
      </c>
      <c r="J448" s="5" t="s">
        <v>39</v>
      </c>
      <c r="K448" s="5" t="b">
        <v>0</v>
      </c>
      <c r="L448" s="5" t="b">
        <v>0</v>
      </c>
      <c r="N448" s="5">
        <v>3000.0</v>
      </c>
      <c r="O448" s="5">
        <v>0.0</v>
      </c>
      <c r="P448" s="5">
        <v>0.0</v>
      </c>
      <c r="R448" s="5" t="b">
        <v>0</v>
      </c>
      <c r="U448" s="5" t="s">
        <v>1517</v>
      </c>
      <c r="V448" s="5" t="s">
        <v>1508</v>
      </c>
      <c r="W448" s="5" t="s">
        <v>1508</v>
      </c>
      <c r="X448" s="5" t="s">
        <v>1509</v>
      </c>
      <c r="Z448" s="5">
        <v>2400.0</v>
      </c>
      <c r="AA448" s="5" t="s">
        <v>1591</v>
      </c>
      <c r="AB448" s="5">
        <v>600.0</v>
      </c>
      <c r="AC448" s="5" t="s">
        <v>1510</v>
      </c>
      <c r="AE448" s="5">
        <v>3038.0</v>
      </c>
      <c r="AF448" s="36">
        <v>46090.554066516204</v>
      </c>
    </row>
    <row r="449" ht="22.5" hidden="1" customHeight="1">
      <c r="A449" s="5" t="s">
        <v>2082</v>
      </c>
      <c r="B449" s="5" t="s">
        <v>1506</v>
      </c>
      <c r="C449" s="5" t="s">
        <v>2083</v>
      </c>
      <c r="D449" s="5" t="s">
        <v>14</v>
      </c>
      <c r="E449" s="25" t="s">
        <v>777</v>
      </c>
      <c r="F449" s="5" t="s">
        <v>778</v>
      </c>
      <c r="G449" s="5" t="s">
        <v>779</v>
      </c>
      <c r="H449" s="35">
        <v>39894.0</v>
      </c>
      <c r="I449" s="5" t="s">
        <v>156</v>
      </c>
      <c r="J449" s="5" t="s">
        <v>39</v>
      </c>
      <c r="K449" s="5" t="b">
        <v>0</v>
      </c>
      <c r="L449" s="5" t="b">
        <v>0</v>
      </c>
      <c r="N449" s="5">
        <v>3000.0</v>
      </c>
      <c r="O449" s="5">
        <v>0.0</v>
      </c>
      <c r="P449" s="5">
        <v>0.0</v>
      </c>
      <c r="R449" s="5" t="b">
        <v>0</v>
      </c>
      <c r="U449" s="5" t="s">
        <v>1517</v>
      </c>
      <c r="V449" s="5" t="s">
        <v>1508</v>
      </c>
      <c r="W449" s="5" t="s">
        <v>1548</v>
      </c>
      <c r="X449" s="5" t="s">
        <v>1509</v>
      </c>
      <c r="Z449" s="5">
        <v>3000.0</v>
      </c>
      <c r="AB449" s="5">
        <v>0.0</v>
      </c>
      <c r="AC449" s="5" t="s">
        <v>1510</v>
      </c>
      <c r="AD449" s="5" t="s">
        <v>1511</v>
      </c>
      <c r="AE449" s="5">
        <v>3009.0</v>
      </c>
      <c r="AF449" s="36">
        <v>46090.27784224537</v>
      </c>
      <c r="AG449" s="5" t="s">
        <v>1549</v>
      </c>
    </row>
    <row r="450" ht="22.5" hidden="1" customHeight="1">
      <c r="A450" s="5" t="s">
        <v>2084</v>
      </c>
      <c r="B450" s="5" t="s">
        <v>1506</v>
      </c>
      <c r="C450" s="5" t="s">
        <v>780</v>
      </c>
      <c r="D450" s="5" t="s">
        <v>14</v>
      </c>
      <c r="E450" s="5">
        <v>9.843219309E9</v>
      </c>
      <c r="F450" s="5" t="s">
        <v>781</v>
      </c>
      <c r="G450" s="5">
        <v>7203464.0</v>
      </c>
      <c r="H450" s="35">
        <v>35360.0</v>
      </c>
      <c r="I450" s="5" t="s">
        <v>156</v>
      </c>
      <c r="J450" s="5" t="s">
        <v>39</v>
      </c>
      <c r="K450" s="5" t="b">
        <v>0</v>
      </c>
      <c r="L450" s="5" t="b">
        <v>0</v>
      </c>
      <c r="N450" s="5">
        <v>3000.0</v>
      </c>
      <c r="O450" s="5">
        <v>0.0</v>
      </c>
      <c r="P450" s="5">
        <v>0.0</v>
      </c>
      <c r="R450" s="5" t="b">
        <v>0</v>
      </c>
      <c r="U450" s="5" t="s">
        <v>1514</v>
      </c>
      <c r="V450" s="5" t="s">
        <v>1508</v>
      </c>
      <c r="W450" s="5" t="s">
        <v>1508</v>
      </c>
      <c r="X450" s="5" t="s">
        <v>1509</v>
      </c>
      <c r="Z450" s="5">
        <v>2250.0</v>
      </c>
      <c r="AA450" s="5" t="s">
        <v>1979</v>
      </c>
      <c r="AB450" s="5">
        <v>750.0</v>
      </c>
      <c r="AC450" s="5" t="s">
        <v>1510</v>
      </c>
      <c r="AE450" s="5">
        <v>3037.0</v>
      </c>
      <c r="AF450" s="36">
        <v>46090.25335810185</v>
      </c>
      <c r="AG450" s="5" t="s">
        <v>2085</v>
      </c>
    </row>
    <row r="451" ht="22.5" hidden="1" customHeight="1">
      <c r="A451" s="5" t="s">
        <v>2086</v>
      </c>
      <c r="B451" s="5" t="s">
        <v>1506</v>
      </c>
      <c r="C451" s="5" t="s">
        <v>782</v>
      </c>
      <c r="D451" s="5" t="s">
        <v>14</v>
      </c>
      <c r="E451" s="5">
        <v>9.861606111E9</v>
      </c>
      <c r="F451" s="5" t="s">
        <v>784</v>
      </c>
      <c r="G451" s="5">
        <v>7171931.0</v>
      </c>
      <c r="H451" s="35">
        <v>36867.0</v>
      </c>
      <c r="I451" s="5" t="s">
        <v>156</v>
      </c>
      <c r="J451" s="5" t="s">
        <v>39</v>
      </c>
      <c r="K451" s="5" t="b">
        <v>0</v>
      </c>
      <c r="L451" s="5" t="b">
        <v>0</v>
      </c>
      <c r="N451" s="5">
        <v>3000.0</v>
      </c>
      <c r="O451" s="5">
        <v>0.0</v>
      </c>
      <c r="P451" s="5">
        <v>0.0</v>
      </c>
      <c r="R451" s="5" t="b">
        <v>0</v>
      </c>
      <c r="U451" s="5" t="s">
        <v>1517</v>
      </c>
      <c r="V451" s="5" t="s">
        <v>1508</v>
      </c>
      <c r="W451" s="5" t="s">
        <v>1508</v>
      </c>
      <c r="X451" s="5" t="s">
        <v>1509</v>
      </c>
      <c r="Z451" s="5">
        <v>0.0</v>
      </c>
      <c r="AA451" s="5" t="s">
        <v>779</v>
      </c>
      <c r="AB451" s="5">
        <v>3000.0</v>
      </c>
      <c r="AC451" s="5" t="s">
        <v>1510</v>
      </c>
      <c r="AD451" s="5" t="s">
        <v>1511</v>
      </c>
      <c r="AE451" s="5">
        <v>3010.0</v>
      </c>
      <c r="AF451" s="36">
        <v>46090.215007928244</v>
      </c>
      <c r="AG451" s="5" t="s">
        <v>2087</v>
      </c>
    </row>
    <row r="452" ht="22.5" hidden="1" customHeight="1">
      <c r="A452" s="5" t="s">
        <v>2088</v>
      </c>
      <c r="B452" s="5" t="s">
        <v>1506</v>
      </c>
      <c r="C452" s="5" t="s">
        <v>785</v>
      </c>
      <c r="D452" s="5" t="s">
        <v>14</v>
      </c>
      <c r="E452" s="5">
        <v>9.841457107E9</v>
      </c>
      <c r="F452" s="5" t="s">
        <v>786</v>
      </c>
      <c r="H452" s="35">
        <v>31582.0</v>
      </c>
      <c r="I452" s="5" t="s">
        <v>156</v>
      </c>
      <c r="J452" s="5" t="s">
        <v>39</v>
      </c>
      <c r="K452" s="5" t="b">
        <v>0</v>
      </c>
      <c r="L452" s="5" t="b">
        <v>0</v>
      </c>
      <c r="N452" s="5">
        <v>3000.0</v>
      </c>
      <c r="O452" s="5">
        <v>0.0</v>
      </c>
      <c r="P452" s="5">
        <v>0.0</v>
      </c>
      <c r="R452" s="5" t="b">
        <v>0</v>
      </c>
      <c r="U452" s="5" t="s">
        <v>1519</v>
      </c>
      <c r="V452" s="5" t="s">
        <v>1508</v>
      </c>
      <c r="W452" s="5" t="s">
        <v>1508</v>
      </c>
      <c r="X452" s="5" t="s">
        <v>1509</v>
      </c>
      <c r="Z452" s="5">
        <v>3000.0</v>
      </c>
      <c r="AB452" s="5">
        <v>0.0</v>
      </c>
      <c r="AC452" s="5" t="s">
        <v>1510</v>
      </c>
      <c r="AE452" s="5">
        <v>3036.0</v>
      </c>
      <c r="AF452" s="36">
        <v>46089.55921027778</v>
      </c>
    </row>
    <row r="453" ht="22.5" hidden="1" customHeight="1">
      <c r="A453" s="5" t="s">
        <v>2089</v>
      </c>
      <c r="B453" s="5" t="s">
        <v>1506</v>
      </c>
      <c r="C453" s="5" t="s">
        <v>787</v>
      </c>
      <c r="D453" s="5" t="s">
        <v>14</v>
      </c>
      <c r="E453" s="5">
        <v>9.863336676E9</v>
      </c>
      <c r="F453" s="5" t="s">
        <v>789</v>
      </c>
      <c r="G453" s="5">
        <v>7202930.0</v>
      </c>
      <c r="H453" s="35">
        <v>37563.0</v>
      </c>
      <c r="I453" s="5" t="s">
        <v>156</v>
      </c>
      <c r="J453" s="5" t="s">
        <v>39</v>
      </c>
      <c r="K453" s="5" t="b">
        <v>0</v>
      </c>
      <c r="L453" s="5" t="b">
        <v>0</v>
      </c>
      <c r="N453" s="5">
        <v>3000.0</v>
      </c>
      <c r="O453" s="5">
        <v>0.0</v>
      </c>
      <c r="P453" s="5">
        <v>0.0</v>
      </c>
      <c r="R453" s="5" t="b">
        <v>0</v>
      </c>
      <c r="U453" s="5" t="s">
        <v>1517</v>
      </c>
      <c r="V453" s="5" t="s">
        <v>1508</v>
      </c>
      <c r="W453" s="5" t="s">
        <v>1508</v>
      </c>
      <c r="X453" s="5" t="s">
        <v>1509</v>
      </c>
      <c r="Z453" s="5">
        <v>0.0</v>
      </c>
      <c r="AA453" s="5" t="s">
        <v>779</v>
      </c>
      <c r="AB453" s="5">
        <v>3000.0</v>
      </c>
      <c r="AC453" s="5" t="s">
        <v>1510</v>
      </c>
      <c r="AD453" s="5" t="s">
        <v>1558</v>
      </c>
      <c r="AE453" s="5">
        <v>3006.0</v>
      </c>
      <c r="AF453" s="36">
        <v>46089.164519895836</v>
      </c>
      <c r="AG453" s="5" t="s">
        <v>2090</v>
      </c>
    </row>
    <row r="454" ht="22.5" hidden="1" customHeight="1">
      <c r="A454" s="5" t="s">
        <v>2091</v>
      </c>
      <c r="B454" s="5" t="s">
        <v>1506</v>
      </c>
      <c r="C454" s="5" t="s">
        <v>466</v>
      </c>
      <c r="D454" s="5" t="s">
        <v>14</v>
      </c>
      <c r="E454" s="25" t="s">
        <v>467</v>
      </c>
      <c r="F454" s="5" t="s">
        <v>468</v>
      </c>
      <c r="G454" s="5">
        <v>7202927.0</v>
      </c>
      <c r="H454" s="35">
        <v>39084.0</v>
      </c>
      <c r="I454" s="5" t="s">
        <v>16</v>
      </c>
      <c r="J454" s="5" t="s">
        <v>39</v>
      </c>
      <c r="K454" s="5" t="b">
        <v>0</v>
      </c>
      <c r="L454" s="5" t="b">
        <v>0</v>
      </c>
      <c r="N454" s="5">
        <v>3000.0</v>
      </c>
      <c r="O454" s="5">
        <v>0.0</v>
      </c>
      <c r="P454" s="5">
        <v>0.0</v>
      </c>
      <c r="R454" s="5" t="b">
        <v>0</v>
      </c>
      <c r="U454" s="5" t="s">
        <v>1519</v>
      </c>
      <c r="V454" s="5" t="s">
        <v>1508</v>
      </c>
      <c r="W454" s="5" t="s">
        <v>1548</v>
      </c>
      <c r="X454" s="5" t="s">
        <v>1509</v>
      </c>
      <c r="Z454" s="5">
        <v>2250.0</v>
      </c>
      <c r="AA454" s="5" t="s">
        <v>1979</v>
      </c>
      <c r="AB454" s="5">
        <v>750.0</v>
      </c>
      <c r="AC454" s="5" t="s">
        <v>1510</v>
      </c>
      <c r="AE454" s="5">
        <v>3035.0</v>
      </c>
      <c r="AF454" s="36">
        <v>46088.68566296296</v>
      </c>
      <c r="AG454" s="5" t="s">
        <v>2092</v>
      </c>
    </row>
    <row r="455" ht="22.5" hidden="1" customHeight="1">
      <c r="A455" s="5" t="s">
        <v>2093</v>
      </c>
      <c r="B455" s="5" t="s">
        <v>1506</v>
      </c>
      <c r="C455" s="5" t="s">
        <v>1450</v>
      </c>
      <c r="D455" s="5" t="s">
        <v>366</v>
      </c>
      <c r="E455" s="25" t="s">
        <v>1451</v>
      </c>
      <c r="F455" s="5" t="s">
        <v>1452</v>
      </c>
      <c r="G455" s="5">
        <v>4689113.0</v>
      </c>
      <c r="H455" s="35">
        <v>34908.0</v>
      </c>
      <c r="I455" s="5" t="s">
        <v>156</v>
      </c>
      <c r="J455" s="5" t="s">
        <v>46</v>
      </c>
      <c r="K455" s="5" t="b">
        <v>0</v>
      </c>
      <c r="L455" s="5" t="b">
        <v>0</v>
      </c>
      <c r="N455" s="5">
        <v>120.0</v>
      </c>
      <c r="O455" s="5">
        <v>0.0</v>
      </c>
      <c r="P455" s="5">
        <v>0.0</v>
      </c>
      <c r="R455" s="5" t="b">
        <v>0</v>
      </c>
      <c r="U455" s="5" t="s">
        <v>1517</v>
      </c>
      <c r="V455" s="5" t="s">
        <v>1508</v>
      </c>
      <c r="W455" s="5" t="s">
        <v>1508</v>
      </c>
      <c r="X455" s="5" t="s">
        <v>1509</v>
      </c>
      <c r="Z455" s="5">
        <v>120.0</v>
      </c>
      <c r="AB455" s="5">
        <v>0.0</v>
      </c>
      <c r="AC455" s="5" t="s">
        <v>1546</v>
      </c>
      <c r="AD455" s="5" t="s">
        <v>1511</v>
      </c>
      <c r="AE455" s="5">
        <v>1512.0</v>
      </c>
      <c r="AF455" s="36">
        <v>46088.66093809028</v>
      </c>
    </row>
    <row r="456" ht="22.5" hidden="1" customHeight="1">
      <c r="A456" s="5" t="s">
        <v>2094</v>
      </c>
      <c r="B456" s="5" t="s">
        <v>1506</v>
      </c>
      <c r="C456" s="5" t="s">
        <v>2095</v>
      </c>
      <c r="D456" s="5" t="s">
        <v>14</v>
      </c>
      <c r="E456" s="5">
        <v>9.841978669E9</v>
      </c>
      <c r="F456" s="5" t="s">
        <v>791</v>
      </c>
      <c r="H456" s="35">
        <v>33162.0</v>
      </c>
      <c r="I456" s="5" t="s">
        <v>156</v>
      </c>
      <c r="J456" s="5" t="s">
        <v>39</v>
      </c>
      <c r="K456" s="5" t="b">
        <v>0</v>
      </c>
      <c r="L456" s="5" t="b">
        <v>0</v>
      </c>
      <c r="N456" s="5">
        <v>3000.0</v>
      </c>
      <c r="O456" s="5">
        <v>0.0</v>
      </c>
      <c r="P456" s="5">
        <v>0.0</v>
      </c>
      <c r="R456" s="5" t="b">
        <v>0</v>
      </c>
      <c r="U456" s="5" t="s">
        <v>1517</v>
      </c>
      <c r="V456" s="5" t="s">
        <v>1508</v>
      </c>
      <c r="W456" s="5" t="s">
        <v>1508</v>
      </c>
      <c r="X456" s="5" t="s">
        <v>1509</v>
      </c>
      <c r="Z456" s="5">
        <v>3000.0</v>
      </c>
      <c r="AB456" s="5">
        <v>0.0</v>
      </c>
      <c r="AC456" s="5" t="s">
        <v>1510</v>
      </c>
      <c r="AE456" s="5">
        <v>3034.0</v>
      </c>
      <c r="AF456" s="36">
        <v>46088.311638402774</v>
      </c>
    </row>
    <row r="457" ht="22.5" hidden="1" customHeight="1">
      <c r="A457" s="5" t="s">
        <v>2096</v>
      </c>
      <c r="B457" s="5" t="s">
        <v>1506</v>
      </c>
      <c r="C457" s="5" t="s">
        <v>792</v>
      </c>
      <c r="D457" s="5" t="s">
        <v>14</v>
      </c>
      <c r="E457" s="5">
        <v>9.817095123E9</v>
      </c>
      <c r="F457" s="5" t="s">
        <v>793</v>
      </c>
      <c r="H457" s="35">
        <v>30299.0</v>
      </c>
      <c r="I457" s="5" t="s">
        <v>156</v>
      </c>
      <c r="J457" s="5" t="s">
        <v>39</v>
      </c>
      <c r="K457" s="5" t="b">
        <v>0</v>
      </c>
      <c r="L457" s="5" t="b">
        <v>0</v>
      </c>
      <c r="N457" s="5">
        <v>3000.0</v>
      </c>
      <c r="O457" s="5">
        <v>0.0</v>
      </c>
      <c r="P457" s="5">
        <v>0.0</v>
      </c>
      <c r="R457" s="5" t="b">
        <v>0</v>
      </c>
      <c r="U457" s="5" t="s">
        <v>1519</v>
      </c>
      <c r="V457" s="5" t="s">
        <v>1508</v>
      </c>
      <c r="W457" s="5" t="s">
        <v>1508</v>
      </c>
      <c r="X457" s="5" t="s">
        <v>1509</v>
      </c>
      <c r="Z457" s="5">
        <v>3000.0</v>
      </c>
      <c r="AB457" s="5">
        <v>0.0</v>
      </c>
      <c r="AC457" s="5" t="s">
        <v>1510</v>
      </c>
      <c r="AE457" s="5">
        <v>3033.0</v>
      </c>
      <c r="AF457" s="36">
        <v>46087.69648784722</v>
      </c>
    </row>
    <row r="458" ht="22.5" hidden="1" customHeight="1">
      <c r="A458" s="5" t="s">
        <v>2097</v>
      </c>
      <c r="B458" s="5" t="s">
        <v>1506</v>
      </c>
      <c r="C458" s="5" t="s">
        <v>2098</v>
      </c>
      <c r="D458" s="5" t="s">
        <v>366</v>
      </c>
      <c r="E458" s="25" t="s">
        <v>1131</v>
      </c>
      <c r="F458" s="5" t="s">
        <v>1132</v>
      </c>
      <c r="H458" s="35">
        <v>37711.0</v>
      </c>
      <c r="I458" s="5" t="s">
        <v>156</v>
      </c>
      <c r="J458" s="5" t="s">
        <v>42</v>
      </c>
      <c r="K458" s="5" t="b">
        <v>0</v>
      </c>
      <c r="L458" s="5" t="b">
        <v>0</v>
      </c>
      <c r="N458" s="5">
        <v>80.0</v>
      </c>
      <c r="O458" s="5">
        <v>0.0</v>
      </c>
      <c r="P458" s="5">
        <v>0.0</v>
      </c>
      <c r="R458" s="5" t="b">
        <v>0</v>
      </c>
      <c r="U458" s="5" t="s">
        <v>1507</v>
      </c>
      <c r="V458" s="5" t="s">
        <v>1508</v>
      </c>
      <c r="W458" s="5" t="s">
        <v>1508</v>
      </c>
      <c r="X458" s="5" t="s">
        <v>1509</v>
      </c>
      <c r="Z458" s="5">
        <v>60.0</v>
      </c>
      <c r="AA458" s="5" t="s">
        <v>1556</v>
      </c>
      <c r="AB458" s="5">
        <v>20.0</v>
      </c>
      <c r="AC458" s="5" t="s">
        <v>1546</v>
      </c>
      <c r="AD458" s="5" t="s">
        <v>1558</v>
      </c>
      <c r="AE458" s="5">
        <v>2032.0</v>
      </c>
      <c r="AF458" s="36">
        <v>46087.37678990741</v>
      </c>
    </row>
    <row r="459" ht="22.5" hidden="1" customHeight="1">
      <c r="A459" s="5" t="s">
        <v>2099</v>
      </c>
      <c r="B459" s="5" t="s">
        <v>1506</v>
      </c>
      <c r="C459" s="5" t="s">
        <v>1192</v>
      </c>
      <c r="D459" s="5" t="s">
        <v>14</v>
      </c>
      <c r="E459" s="5">
        <v>9.862954553E9</v>
      </c>
      <c r="F459" s="5" t="s">
        <v>1193</v>
      </c>
      <c r="G459" s="5" t="s">
        <v>1194</v>
      </c>
      <c r="H459" s="35">
        <v>36379.0</v>
      </c>
      <c r="I459" s="5" t="s">
        <v>16</v>
      </c>
      <c r="J459" s="5" t="s">
        <v>42</v>
      </c>
      <c r="K459" s="5" t="b">
        <v>0</v>
      </c>
      <c r="L459" s="5" t="b">
        <v>0</v>
      </c>
      <c r="N459" s="5">
        <v>7500.0</v>
      </c>
      <c r="O459" s="5">
        <v>0.0</v>
      </c>
      <c r="P459" s="5">
        <v>0.0</v>
      </c>
      <c r="R459" s="5" t="b">
        <v>0</v>
      </c>
      <c r="U459" s="5" t="s">
        <v>1507</v>
      </c>
      <c r="V459" s="5" t="s">
        <v>1508</v>
      </c>
      <c r="W459" s="5" t="s">
        <v>1508</v>
      </c>
      <c r="X459" s="5" t="s">
        <v>1509</v>
      </c>
      <c r="Z459" s="5">
        <v>0.0</v>
      </c>
      <c r="AA459" s="5" t="s">
        <v>779</v>
      </c>
      <c r="AB459" s="5">
        <v>7500.0</v>
      </c>
      <c r="AC459" s="5" t="s">
        <v>1510</v>
      </c>
      <c r="AD459" s="5" t="s">
        <v>1558</v>
      </c>
      <c r="AE459" s="5">
        <v>2031.0</v>
      </c>
      <c r="AF459" s="36">
        <v>46087.239560358794</v>
      </c>
    </row>
    <row r="460" ht="22.5" hidden="1" customHeight="1">
      <c r="A460" s="5" t="s">
        <v>2100</v>
      </c>
      <c r="B460" s="5" t="s">
        <v>1506</v>
      </c>
      <c r="C460" s="5" t="s">
        <v>2101</v>
      </c>
      <c r="D460" s="5" t="s">
        <v>14</v>
      </c>
      <c r="E460" s="5">
        <v>9.861573576E9</v>
      </c>
      <c r="F460" s="5" t="s">
        <v>2102</v>
      </c>
      <c r="G460" s="5" t="s">
        <v>2101</v>
      </c>
      <c r="H460" s="35">
        <v>36687.0</v>
      </c>
      <c r="I460" s="5" t="s">
        <v>16</v>
      </c>
      <c r="J460" s="5" t="s">
        <v>46</v>
      </c>
      <c r="K460" s="5" t="b">
        <v>0</v>
      </c>
      <c r="L460" s="5" t="b">
        <v>0</v>
      </c>
      <c r="N460" s="5">
        <v>9000.0</v>
      </c>
      <c r="O460" s="5">
        <v>0.0</v>
      </c>
      <c r="P460" s="5">
        <v>0.0</v>
      </c>
      <c r="R460" s="5" t="b">
        <v>0</v>
      </c>
      <c r="U460" s="5" t="s">
        <v>1519</v>
      </c>
      <c r="V460" s="5" t="s">
        <v>1508</v>
      </c>
      <c r="W460" s="5" t="s">
        <v>1508</v>
      </c>
      <c r="X460" s="5" t="s">
        <v>1509</v>
      </c>
      <c r="Z460" s="5">
        <v>0.0</v>
      </c>
      <c r="AA460" s="5" t="s">
        <v>779</v>
      </c>
      <c r="AB460" s="5">
        <v>9000.0</v>
      </c>
      <c r="AC460" s="5" t="s">
        <v>1510</v>
      </c>
      <c r="AD460" s="5" t="s">
        <v>1558</v>
      </c>
      <c r="AE460" s="5">
        <v>1510.0</v>
      </c>
      <c r="AF460" s="36">
        <v>46087.2351016088</v>
      </c>
    </row>
    <row r="461" ht="22.5" hidden="1" customHeight="1">
      <c r="A461" s="5" t="s">
        <v>2103</v>
      </c>
      <c r="B461" s="5" t="s">
        <v>1506</v>
      </c>
      <c r="C461" s="5" t="s">
        <v>794</v>
      </c>
      <c r="D461" s="5" t="s">
        <v>14</v>
      </c>
      <c r="E461" s="5">
        <v>9.818217003E9</v>
      </c>
      <c r="F461" s="5" t="s">
        <v>795</v>
      </c>
      <c r="H461" s="35">
        <v>31876.0</v>
      </c>
      <c r="I461" s="5" t="s">
        <v>156</v>
      </c>
      <c r="J461" s="5" t="s">
        <v>39</v>
      </c>
      <c r="K461" s="5" t="b">
        <v>0</v>
      </c>
      <c r="L461" s="5" t="b">
        <v>0</v>
      </c>
      <c r="N461" s="5">
        <v>3000.0</v>
      </c>
      <c r="O461" s="5">
        <v>0.0</v>
      </c>
      <c r="P461" s="5">
        <v>0.0</v>
      </c>
      <c r="R461" s="5" t="b">
        <v>0</v>
      </c>
      <c r="U461" s="5" t="s">
        <v>1517</v>
      </c>
      <c r="V461" s="5" t="s">
        <v>1508</v>
      </c>
      <c r="W461" s="5" t="s">
        <v>1548</v>
      </c>
      <c r="X461" s="5" t="s">
        <v>1509</v>
      </c>
      <c r="Z461" s="5">
        <v>3000.0</v>
      </c>
      <c r="AB461" s="5">
        <v>0.0</v>
      </c>
      <c r="AC461" s="5" t="s">
        <v>1510</v>
      </c>
      <c r="AD461" s="5" t="s">
        <v>1558</v>
      </c>
      <c r="AE461" s="5">
        <v>3112.0</v>
      </c>
      <c r="AF461" s="36">
        <v>46086.00373405092</v>
      </c>
      <c r="AG461" s="5" t="s">
        <v>1549</v>
      </c>
    </row>
    <row r="462" ht="22.5" hidden="1" customHeight="1">
      <c r="A462" s="5" t="s">
        <v>2104</v>
      </c>
      <c r="B462" s="5" t="s">
        <v>1506</v>
      </c>
      <c r="C462" s="5" t="s">
        <v>488</v>
      </c>
      <c r="D462" s="5" t="s">
        <v>366</v>
      </c>
      <c r="E462" s="25" t="s">
        <v>489</v>
      </c>
      <c r="F462" s="5" t="s">
        <v>490</v>
      </c>
      <c r="H462" s="35">
        <v>33865.0</v>
      </c>
      <c r="I462" s="5" t="s">
        <v>16</v>
      </c>
      <c r="J462" s="5" t="s">
        <v>39</v>
      </c>
      <c r="K462" s="5" t="b">
        <v>0</v>
      </c>
      <c r="L462" s="5" t="b">
        <v>0</v>
      </c>
      <c r="N462" s="5">
        <v>25.0</v>
      </c>
      <c r="O462" s="5">
        <v>0.0</v>
      </c>
      <c r="P462" s="5">
        <v>0.0</v>
      </c>
      <c r="R462" s="5" t="b">
        <v>0</v>
      </c>
      <c r="U462" s="5" t="s">
        <v>1507</v>
      </c>
      <c r="V462" s="5" t="s">
        <v>1508</v>
      </c>
      <c r="W462" s="5" t="s">
        <v>1548</v>
      </c>
      <c r="X462" s="5" t="s">
        <v>1509</v>
      </c>
      <c r="Z462" s="5">
        <v>25.0</v>
      </c>
      <c r="AB462" s="5">
        <v>0.0</v>
      </c>
      <c r="AC462" s="5" t="s">
        <v>1546</v>
      </c>
      <c r="AD462" s="5" t="s">
        <v>1558</v>
      </c>
      <c r="AE462" s="5">
        <v>3007.0</v>
      </c>
      <c r="AF462" s="36">
        <v>46085.775659583334</v>
      </c>
      <c r="AG462" s="5" t="s">
        <v>1549</v>
      </c>
    </row>
    <row r="463" ht="22.5" customHeight="1">
      <c r="A463" s="5" t="s">
        <v>2105</v>
      </c>
      <c r="B463" s="5" t="s">
        <v>1506</v>
      </c>
      <c r="C463" s="5" t="s">
        <v>343</v>
      </c>
      <c r="D463" s="5" t="s">
        <v>14</v>
      </c>
      <c r="E463" s="5">
        <v>9.861290604E9</v>
      </c>
      <c r="F463" s="5" t="s">
        <v>344</v>
      </c>
      <c r="H463" s="35">
        <v>36429.0</v>
      </c>
      <c r="I463" s="5" t="s">
        <v>156</v>
      </c>
      <c r="J463" s="5" t="s">
        <v>17</v>
      </c>
      <c r="K463" s="5" t="b">
        <v>0</v>
      </c>
      <c r="L463" s="5" t="b">
        <v>0</v>
      </c>
      <c r="N463" s="5">
        <v>1500.0</v>
      </c>
      <c r="O463" s="5">
        <v>0.0</v>
      </c>
      <c r="P463" s="5">
        <v>0.0</v>
      </c>
      <c r="R463" s="5" t="b">
        <v>0</v>
      </c>
      <c r="U463" s="5" t="s">
        <v>1517</v>
      </c>
      <c r="V463" s="5" t="s">
        <v>1508</v>
      </c>
      <c r="W463" s="5" t="s">
        <v>1508</v>
      </c>
      <c r="X463" s="5" t="s">
        <v>1509</v>
      </c>
      <c r="Z463" s="5">
        <v>1125.0</v>
      </c>
      <c r="AA463" s="5" t="s">
        <v>1979</v>
      </c>
      <c r="AB463" s="5">
        <v>375.0</v>
      </c>
      <c r="AC463" s="5" t="s">
        <v>1510</v>
      </c>
      <c r="AE463" s="5">
        <v>4054.0</v>
      </c>
      <c r="AF463" s="36">
        <v>46085.667521157404</v>
      </c>
    </row>
    <row r="464" ht="22.5" hidden="1" customHeight="1">
      <c r="A464" s="5" t="s">
        <v>2106</v>
      </c>
      <c r="B464" s="5" t="s">
        <v>1506</v>
      </c>
      <c r="C464" s="5" t="s">
        <v>796</v>
      </c>
      <c r="D464" s="5" t="s">
        <v>14</v>
      </c>
      <c r="E464" s="5">
        <v>9.802397055E9</v>
      </c>
      <c r="F464" s="5" t="s">
        <v>797</v>
      </c>
      <c r="H464" s="35">
        <v>35141.0</v>
      </c>
      <c r="I464" s="5" t="s">
        <v>156</v>
      </c>
      <c r="J464" s="5" t="s">
        <v>39</v>
      </c>
      <c r="K464" s="5" t="b">
        <v>0</v>
      </c>
      <c r="L464" s="5" t="b">
        <v>0</v>
      </c>
      <c r="N464" s="5">
        <v>3000.0</v>
      </c>
      <c r="O464" s="5">
        <v>0.0</v>
      </c>
      <c r="P464" s="5">
        <v>0.0</v>
      </c>
      <c r="R464" s="5" t="b">
        <v>0</v>
      </c>
      <c r="U464" s="5" t="s">
        <v>1517</v>
      </c>
      <c r="V464" s="5" t="s">
        <v>1508</v>
      </c>
      <c r="W464" s="5" t="s">
        <v>1548</v>
      </c>
      <c r="X464" s="5" t="s">
        <v>1509</v>
      </c>
      <c r="Z464" s="5">
        <v>2250.0</v>
      </c>
      <c r="AA464" s="5" t="s">
        <v>1979</v>
      </c>
      <c r="AB464" s="5">
        <v>750.0</v>
      </c>
      <c r="AC464" s="5" t="s">
        <v>1510</v>
      </c>
      <c r="AE464" s="5">
        <v>3032.0</v>
      </c>
      <c r="AF464" s="36">
        <v>46085.46302231481</v>
      </c>
      <c r="AG464" s="5" t="s">
        <v>1549</v>
      </c>
    </row>
    <row r="465" ht="22.5" customHeight="1">
      <c r="A465" s="5" t="s">
        <v>2107</v>
      </c>
      <c r="B465" s="5" t="s">
        <v>1506</v>
      </c>
      <c r="C465" s="5" t="s">
        <v>345</v>
      </c>
      <c r="D465" s="5" t="s">
        <v>14</v>
      </c>
      <c r="E465" s="25" t="s">
        <v>346</v>
      </c>
      <c r="F465" s="5" t="s">
        <v>347</v>
      </c>
      <c r="H465" s="35">
        <v>35936.0</v>
      </c>
      <c r="I465" s="5" t="s">
        <v>156</v>
      </c>
      <c r="J465" s="5" t="s">
        <v>17</v>
      </c>
      <c r="K465" s="5" t="b">
        <v>0</v>
      </c>
      <c r="L465" s="5" t="b">
        <v>0</v>
      </c>
      <c r="N465" s="5">
        <v>1500.0</v>
      </c>
      <c r="O465" s="5">
        <v>0.0</v>
      </c>
      <c r="P465" s="5">
        <v>0.0</v>
      </c>
      <c r="R465" s="5" t="b">
        <v>0</v>
      </c>
      <c r="U465" s="5" t="s">
        <v>1514</v>
      </c>
      <c r="V465" s="5" t="s">
        <v>1508</v>
      </c>
      <c r="W465" s="5" t="s">
        <v>1508</v>
      </c>
      <c r="X465" s="5" t="s">
        <v>1509</v>
      </c>
      <c r="Z465" s="5">
        <v>1125.0</v>
      </c>
      <c r="AA465" s="5" t="s">
        <v>1979</v>
      </c>
      <c r="AB465" s="5">
        <v>375.0</v>
      </c>
      <c r="AC465" s="5" t="s">
        <v>1510</v>
      </c>
      <c r="AD465" s="5" t="s">
        <v>1511</v>
      </c>
      <c r="AE465" s="5">
        <v>4007.0</v>
      </c>
      <c r="AF465" s="36">
        <v>46085.104945335646</v>
      </c>
    </row>
    <row r="466" ht="22.5" hidden="1" customHeight="1">
      <c r="A466" s="5" t="s">
        <v>2108</v>
      </c>
      <c r="B466" s="5" t="s">
        <v>1506</v>
      </c>
      <c r="C466" s="5" t="s">
        <v>798</v>
      </c>
      <c r="D466" s="5" t="s">
        <v>14</v>
      </c>
      <c r="E466" s="5">
        <v>9.808814025E9</v>
      </c>
      <c r="F466" s="5" t="s">
        <v>799</v>
      </c>
      <c r="G466" s="5">
        <v>7171993.0</v>
      </c>
      <c r="H466" s="35">
        <v>35636.0</v>
      </c>
      <c r="I466" s="5" t="s">
        <v>156</v>
      </c>
      <c r="J466" s="5" t="s">
        <v>39</v>
      </c>
      <c r="K466" s="5" t="b">
        <v>0</v>
      </c>
      <c r="L466" s="5" t="b">
        <v>0</v>
      </c>
      <c r="N466" s="5">
        <v>3000.0</v>
      </c>
      <c r="O466" s="5">
        <v>0.0</v>
      </c>
      <c r="P466" s="5">
        <v>0.0</v>
      </c>
      <c r="R466" s="5" t="b">
        <v>0</v>
      </c>
      <c r="U466" s="5" t="s">
        <v>1519</v>
      </c>
      <c r="V466" s="5" t="s">
        <v>1508</v>
      </c>
      <c r="W466" s="5" t="s">
        <v>1508</v>
      </c>
      <c r="X466" s="5" t="s">
        <v>1509</v>
      </c>
      <c r="Z466" s="5">
        <v>2250.0</v>
      </c>
      <c r="AA466" s="5" t="s">
        <v>1979</v>
      </c>
      <c r="AB466" s="5">
        <v>750.0</v>
      </c>
      <c r="AC466" s="5" t="s">
        <v>1510</v>
      </c>
      <c r="AE466" s="5">
        <v>3031.0</v>
      </c>
      <c r="AF466" s="36">
        <v>46084.646117094904</v>
      </c>
      <c r="AG466" s="5" t="s">
        <v>2109</v>
      </c>
    </row>
    <row r="467" ht="22.5" hidden="1" customHeight="1">
      <c r="A467" s="5" t="s">
        <v>2110</v>
      </c>
      <c r="B467" s="5" t="s">
        <v>1506</v>
      </c>
      <c r="C467" s="5" t="s">
        <v>800</v>
      </c>
      <c r="D467" s="5" t="s">
        <v>14</v>
      </c>
      <c r="E467" s="25" t="s">
        <v>801</v>
      </c>
      <c r="F467" s="5" t="s">
        <v>802</v>
      </c>
      <c r="G467" s="5">
        <v>7142384.0</v>
      </c>
      <c r="H467" s="35">
        <v>34477.0</v>
      </c>
      <c r="I467" s="5" t="s">
        <v>156</v>
      </c>
      <c r="J467" s="5" t="s">
        <v>39</v>
      </c>
      <c r="K467" s="5" t="b">
        <v>0</v>
      </c>
      <c r="L467" s="5" t="b">
        <v>0</v>
      </c>
      <c r="N467" s="5">
        <v>3000.0</v>
      </c>
      <c r="O467" s="5">
        <v>0.0</v>
      </c>
      <c r="P467" s="5">
        <v>0.0</v>
      </c>
      <c r="R467" s="5" t="b">
        <v>0</v>
      </c>
      <c r="U467" s="5" t="s">
        <v>1519</v>
      </c>
      <c r="V467" s="5" t="s">
        <v>1508</v>
      </c>
      <c r="W467" s="5" t="s">
        <v>1508</v>
      </c>
      <c r="X467" s="5" t="s">
        <v>1509</v>
      </c>
      <c r="Z467" s="5">
        <v>3000.0</v>
      </c>
      <c r="AB467" s="5">
        <v>0.0</v>
      </c>
      <c r="AC467" s="5" t="s">
        <v>1510</v>
      </c>
      <c r="AE467" s="5">
        <v>3030.0</v>
      </c>
      <c r="AF467" s="36">
        <v>46084.59759533565</v>
      </c>
    </row>
    <row r="468" ht="22.5" hidden="1" customHeight="1">
      <c r="A468" s="5" t="s">
        <v>2111</v>
      </c>
      <c r="B468" s="5" t="s">
        <v>1506</v>
      </c>
      <c r="C468" s="5" t="s">
        <v>1353</v>
      </c>
      <c r="D468" s="5" t="s">
        <v>938</v>
      </c>
      <c r="E468" s="25" t="s">
        <v>1354</v>
      </c>
      <c r="F468" s="5" t="s">
        <v>1355</v>
      </c>
      <c r="G468" s="5">
        <v>4606787.0</v>
      </c>
      <c r="H468" s="35">
        <v>32046.0</v>
      </c>
      <c r="I468" s="5" t="s">
        <v>156</v>
      </c>
      <c r="J468" s="5" t="s">
        <v>36</v>
      </c>
      <c r="K468" s="5" t="b">
        <v>0</v>
      </c>
      <c r="L468" s="5" t="b">
        <v>0</v>
      </c>
      <c r="N468" s="5">
        <v>150.0</v>
      </c>
      <c r="O468" s="5">
        <v>0.0</v>
      </c>
      <c r="P468" s="5">
        <v>0.0</v>
      </c>
      <c r="R468" s="5" t="b">
        <v>0</v>
      </c>
      <c r="U468" s="5" t="s">
        <v>1517</v>
      </c>
      <c r="V468" s="5" t="s">
        <v>1508</v>
      </c>
      <c r="W468" s="5" t="s">
        <v>1508</v>
      </c>
      <c r="X468" s="5" t="s">
        <v>1509</v>
      </c>
      <c r="Z468" s="5">
        <v>127.5</v>
      </c>
      <c r="AA468" s="5" t="s">
        <v>2112</v>
      </c>
      <c r="AB468" s="5">
        <v>22.5</v>
      </c>
      <c r="AC468" s="5" t="s">
        <v>1546</v>
      </c>
      <c r="AD468" s="5" t="s">
        <v>1558</v>
      </c>
      <c r="AE468" s="5">
        <v>1035.0</v>
      </c>
      <c r="AF468" s="36">
        <v>46084.54413270833</v>
      </c>
    </row>
    <row r="469" ht="22.5" hidden="1" customHeight="1">
      <c r="A469" s="5" t="s">
        <v>2113</v>
      </c>
      <c r="B469" s="5" t="s">
        <v>1506</v>
      </c>
      <c r="C469" s="5" t="s">
        <v>1211</v>
      </c>
      <c r="D469" s="5" t="s">
        <v>938</v>
      </c>
      <c r="E469" s="25" t="s">
        <v>1212</v>
      </c>
      <c r="F469" s="5" t="s">
        <v>1213</v>
      </c>
      <c r="G469" s="5">
        <v>1479805.0</v>
      </c>
      <c r="H469" s="35">
        <v>31684.0</v>
      </c>
      <c r="I469" s="5" t="s">
        <v>16</v>
      </c>
      <c r="J469" s="5" t="s">
        <v>36</v>
      </c>
      <c r="K469" s="5" t="b">
        <v>0</v>
      </c>
      <c r="L469" s="5" t="b">
        <v>0</v>
      </c>
      <c r="N469" s="5">
        <v>150.0</v>
      </c>
      <c r="O469" s="5">
        <v>0.0</v>
      </c>
      <c r="P469" s="5">
        <v>0.0</v>
      </c>
      <c r="R469" s="5" t="b">
        <v>0</v>
      </c>
      <c r="U469" s="5" t="s">
        <v>1507</v>
      </c>
      <c r="V469" s="5" t="s">
        <v>1508</v>
      </c>
      <c r="W469" s="5" t="s">
        <v>1508</v>
      </c>
      <c r="X469" s="5" t="s">
        <v>1509</v>
      </c>
      <c r="Z469" s="5">
        <v>150.0</v>
      </c>
      <c r="AB469" s="5">
        <v>0.0</v>
      </c>
      <c r="AC469" s="5" t="s">
        <v>1546</v>
      </c>
      <c r="AD469" s="5" t="s">
        <v>1558</v>
      </c>
      <c r="AE469" s="5">
        <v>1034.0</v>
      </c>
      <c r="AF469" s="36">
        <v>46084.54231159722</v>
      </c>
    </row>
    <row r="470" ht="22.5" hidden="1" customHeight="1">
      <c r="A470" s="5" t="s">
        <v>2114</v>
      </c>
      <c r="B470" s="5" t="s">
        <v>1506</v>
      </c>
      <c r="C470" s="5" t="s">
        <v>1060</v>
      </c>
      <c r="D470" s="5" t="s">
        <v>14</v>
      </c>
      <c r="E470" s="5">
        <v>9.851111358E9</v>
      </c>
      <c r="F470" s="5" t="s">
        <v>1061</v>
      </c>
      <c r="G470" s="5">
        <v>5348270.0</v>
      </c>
      <c r="H470" s="35">
        <v>30153.0</v>
      </c>
      <c r="I470" s="5" t="s">
        <v>156</v>
      </c>
      <c r="J470" s="5" t="s">
        <v>42</v>
      </c>
      <c r="K470" s="5" t="b">
        <v>0</v>
      </c>
      <c r="L470" s="5" t="b">
        <v>0</v>
      </c>
      <c r="N470" s="5">
        <v>7500.0</v>
      </c>
      <c r="O470" s="5">
        <v>0.0</v>
      </c>
      <c r="P470" s="5">
        <v>0.0</v>
      </c>
      <c r="R470" s="5" t="b">
        <v>0</v>
      </c>
      <c r="U470" s="5" t="s">
        <v>1519</v>
      </c>
      <c r="V470" s="5" t="s">
        <v>1508</v>
      </c>
      <c r="W470" s="5" t="s">
        <v>1508</v>
      </c>
      <c r="X470" s="5" t="s">
        <v>1509</v>
      </c>
      <c r="Z470" s="5">
        <v>5625.0</v>
      </c>
      <c r="AA470" s="5" t="s">
        <v>1556</v>
      </c>
      <c r="AB470" s="5">
        <v>1875.0</v>
      </c>
      <c r="AC470" s="5" t="s">
        <v>1510</v>
      </c>
      <c r="AE470" s="5">
        <v>2060.0</v>
      </c>
      <c r="AF470" s="36">
        <v>46084.47392505787</v>
      </c>
    </row>
    <row r="471" ht="22.5" hidden="1" customHeight="1">
      <c r="A471" s="5" t="s">
        <v>2115</v>
      </c>
      <c r="B471" s="5" t="s">
        <v>1506</v>
      </c>
      <c r="C471" s="5" t="s">
        <v>1208</v>
      </c>
      <c r="D471" s="5" t="s">
        <v>366</v>
      </c>
      <c r="E471" s="25" t="s">
        <v>1209</v>
      </c>
      <c r="F471" s="5" t="s">
        <v>1210</v>
      </c>
      <c r="G471" s="5">
        <v>6079092.0</v>
      </c>
      <c r="H471" s="35">
        <v>35776.0</v>
      </c>
      <c r="I471" s="5" t="s">
        <v>16</v>
      </c>
      <c r="J471" s="5" t="s">
        <v>36</v>
      </c>
      <c r="K471" s="5" t="b">
        <v>0</v>
      </c>
      <c r="L471" s="5" t="b">
        <v>0</v>
      </c>
      <c r="N471" s="5">
        <v>150.0</v>
      </c>
      <c r="O471" s="5">
        <v>0.0</v>
      </c>
      <c r="P471" s="5">
        <v>0.0</v>
      </c>
      <c r="R471" s="5" t="b">
        <v>0</v>
      </c>
      <c r="U471" s="5" t="s">
        <v>1580</v>
      </c>
      <c r="V471" s="5" t="s">
        <v>1508</v>
      </c>
      <c r="W471" s="5" t="s">
        <v>1508</v>
      </c>
      <c r="X471" s="5" t="s">
        <v>1509</v>
      </c>
      <c r="Z471" s="5">
        <v>112.5</v>
      </c>
      <c r="AA471" s="5" t="s">
        <v>1556</v>
      </c>
      <c r="AB471" s="5">
        <v>37.5</v>
      </c>
      <c r="AC471" s="5" t="s">
        <v>1546</v>
      </c>
      <c r="AD471" s="5" t="s">
        <v>1558</v>
      </c>
      <c r="AE471" s="5">
        <v>1032.0</v>
      </c>
      <c r="AF471" s="36">
        <v>46084.41042622685</v>
      </c>
    </row>
    <row r="472" ht="22.5" hidden="1" customHeight="1">
      <c r="A472" s="5" t="s">
        <v>2116</v>
      </c>
      <c r="B472" s="5" t="s">
        <v>1506</v>
      </c>
      <c r="C472" s="5" t="s">
        <v>928</v>
      </c>
      <c r="D472" s="5" t="s">
        <v>366</v>
      </c>
      <c r="E472" s="25" t="s">
        <v>929</v>
      </c>
      <c r="F472" s="5" t="s">
        <v>930</v>
      </c>
      <c r="G472" s="5">
        <v>5432952.0</v>
      </c>
      <c r="H472" s="35">
        <v>34975.0</v>
      </c>
      <c r="I472" s="5" t="s">
        <v>16</v>
      </c>
      <c r="J472" s="5" t="s">
        <v>42</v>
      </c>
      <c r="K472" s="5" t="b">
        <v>0</v>
      </c>
      <c r="L472" s="5" t="b">
        <v>0</v>
      </c>
      <c r="N472" s="5">
        <v>80.0</v>
      </c>
      <c r="O472" s="5">
        <v>0.0</v>
      </c>
      <c r="P472" s="5">
        <v>0.0</v>
      </c>
      <c r="R472" s="5" t="b">
        <v>0</v>
      </c>
      <c r="U472" s="5" t="s">
        <v>1519</v>
      </c>
      <c r="V472" s="5" t="s">
        <v>1508</v>
      </c>
      <c r="W472" s="5" t="s">
        <v>1508</v>
      </c>
      <c r="X472" s="5" t="s">
        <v>1509</v>
      </c>
      <c r="Z472" s="5">
        <v>60.0</v>
      </c>
      <c r="AA472" s="5" t="s">
        <v>1556</v>
      </c>
      <c r="AB472" s="5">
        <v>20.0</v>
      </c>
      <c r="AC472" s="5" t="s">
        <v>1546</v>
      </c>
      <c r="AD472" s="5" t="s">
        <v>1558</v>
      </c>
      <c r="AE472" s="5">
        <v>2033.0</v>
      </c>
      <c r="AF472" s="36">
        <v>46084.39452755787</v>
      </c>
    </row>
    <row r="473" ht="22.5" hidden="1" customHeight="1">
      <c r="A473" s="5" t="s">
        <v>2117</v>
      </c>
      <c r="B473" s="5" t="s">
        <v>1506</v>
      </c>
      <c r="C473" s="5" t="s">
        <v>1335</v>
      </c>
      <c r="D473" s="5" t="s">
        <v>366</v>
      </c>
      <c r="E473" s="25" t="s">
        <v>1336</v>
      </c>
      <c r="F473" s="5" t="s">
        <v>1337</v>
      </c>
      <c r="G473" s="5">
        <v>5379990.0</v>
      </c>
      <c r="H473" s="35">
        <v>34886.0</v>
      </c>
      <c r="I473" s="5" t="s">
        <v>156</v>
      </c>
      <c r="J473" s="5" t="s">
        <v>36</v>
      </c>
      <c r="K473" s="5" t="b">
        <v>0</v>
      </c>
      <c r="L473" s="5" t="b">
        <v>0</v>
      </c>
      <c r="N473" s="5">
        <v>150.0</v>
      </c>
      <c r="O473" s="5">
        <v>0.0</v>
      </c>
      <c r="P473" s="5">
        <v>0.0</v>
      </c>
      <c r="R473" s="5" t="b">
        <v>0</v>
      </c>
      <c r="U473" s="5" t="s">
        <v>1519</v>
      </c>
      <c r="V473" s="5" t="s">
        <v>1508</v>
      </c>
      <c r="W473" s="5" t="s">
        <v>1508</v>
      </c>
      <c r="X473" s="5" t="s">
        <v>1509</v>
      </c>
      <c r="Z473" s="5">
        <v>112.5</v>
      </c>
      <c r="AA473" s="5" t="s">
        <v>1556</v>
      </c>
      <c r="AB473" s="5">
        <v>37.5</v>
      </c>
      <c r="AC473" s="5" t="s">
        <v>1546</v>
      </c>
      <c r="AD473" s="5" t="s">
        <v>1558</v>
      </c>
      <c r="AE473" s="5">
        <v>1033.0</v>
      </c>
      <c r="AF473" s="36">
        <v>46084.391347337965</v>
      </c>
    </row>
    <row r="474" ht="22.5" hidden="1" customHeight="1">
      <c r="A474" s="5" t="s">
        <v>2118</v>
      </c>
      <c r="B474" s="5" t="s">
        <v>1506</v>
      </c>
      <c r="C474" s="5" t="s">
        <v>803</v>
      </c>
      <c r="D474" s="5" t="s">
        <v>14</v>
      </c>
      <c r="E474" s="5">
        <v>9.767251986E9</v>
      </c>
      <c r="F474" s="5" t="s">
        <v>804</v>
      </c>
      <c r="H474" s="35">
        <v>36346.0</v>
      </c>
      <c r="I474" s="5" t="s">
        <v>156</v>
      </c>
      <c r="J474" s="5" t="s">
        <v>39</v>
      </c>
      <c r="K474" s="5" t="b">
        <v>0</v>
      </c>
      <c r="L474" s="5" t="b">
        <v>0</v>
      </c>
      <c r="N474" s="5">
        <v>3000.0</v>
      </c>
      <c r="O474" s="5">
        <v>0.0</v>
      </c>
      <c r="P474" s="5">
        <v>0.0</v>
      </c>
      <c r="R474" s="5" t="b">
        <v>0</v>
      </c>
      <c r="U474" s="5" t="s">
        <v>1517</v>
      </c>
      <c r="V474" s="5" t="s">
        <v>1508</v>
      </c>
      <c r="W474" s="5" t="s">
        <v>1548</v>
      </c>
      <c r="X474" s="5" t="s">
        <v>1509</v>
      </c>
      <c r="Z474" s="5">
        <v>2550.0</v>
      </c>
      <c r="AA474" s="5" t="s">
        <v>2112</v>
      </c>
      <c r="AB474" s="5">
        <v>450.0</v>
      </c>
      <c r="AC474" s="5" t="s">
        <v>1510</v>
      </c>
      <c r="AD474" s="5" t="s">
        <v>1551</v>
      </c>
      <c r="AE474" s="5">
        <v>3004.0</v>
      </c>
      <c r="AF474" s="36">
        <v>46083.70972079861</v>
      </c>
      <c r="AG474" s="5" t="s">
        <v>1549</v>
      </c>
    </row>
    <row r="475" ht="22.5" hidden="1" customHeight="1">
      <c r="A475" s="5" t="s">
        <v>2119</v>
      </c>
      <c r="B475" s="5" t="s">
        <v>1506</v>
      </c>
      <c r="C475" s="5" t="s">
        <v>1268</v>
      </c>
      <c r="D475" s="5" t="s">
        <v>14</v>
      </c>
      <c r="E475" s="5">
        <v>9.76724615E9</v>
      </c>
      <c r="F475" s="5" t="s">
        <v>1269</v>
      </c>
      <c r="G475" s="5" t="s">
        <v>1268</v>
      </c>
      <c r="H475" s="35">
        <v>39068.0</v>
      </c>
      <c r="I475" s="5" t="s">
        <v>156</v>
      </c>
      <c r="J475" s="5" t="s">
        <v>36</v>
      </c>
      <c r="K475" s="5" t="b">
        <v>0</v>
      </c>
      <c r="L475" s="5" t="b">
        <v>0</v>
      </c>
      <c r="N475" s="5">
        <v>12000.0</v>
      </c>
      <c r="O475" s="5">
        <v>0.0</v>
      </c>
      <c r="P475" s="5">
        <v>0.0</v>
      </c>
      <c r="R475" s="5" t="b">
        <v>0</v>
      </c>
      <c r="U475" s="5" t="s">
        <v>1519</v>
      </c>
      <c r="V475" s="5" t="s">
        <v>1508</v>
      </c>
      <c r="W475" s="5" t="s">
        <v>1508</v>
      </c>
      <c r="X475" s="5" t="s">
        <v>1509</v>
      </c>
      <c r="Z475" s="5">
        <v>0.0</v>
      </c>
      <c r="AA475" s="5" t="s">
        <v>779</v>
      </c>
      <c r="AB475" s="5">
        <v>12000.0</v>
      </c>
      <c r="AC475" s="5" t="s">
        <v>1510</v>
      </c>
      <c r="AD475" s="5" t="s">
        <v>1558</v>
      </c>
      <c r="AE475" s="5">
        <v>1006.0</v>
      </c>
      <c r="AF475" s="36">
        <v>46083.67603427084</v>
      </c>
    </row>
    <row r="476" ht="22.5" hidden="1" customHeight="1">
      <c r="A476" s="5" t="s">
        <v>2120</v>
      </c>
      <c r="B476" s="5" t="s">
        <v>1506</v>
      </c>
      <c r="C476" s="5" t="s">
        <v>1199</v>
      </c>
      <c r="D476" s="5" t="s">
        <v>14</v>
      </c>
      <c r="E476" s="5">
        <v>9.806521867E9</v>
      </c>
      <c r="F476" s="5" t="s">
        <v>1200</v>
      </c>
      <c r="G476" s="5" t="s">
        <v>1199</v>
      </c>
      <c r="H476" s="35">
        <v>31771.0</v>
      </c>
      <c r="I476" s="5" t="s">
        <v>16</v>
      </c>
      <c r="J476" s="5" t="s">
        <v>36</v>
      </c>
      <c r="K476" s="5" t="b">
        <v>0</v>
      </c>
      <c r="L476" s="5" t="b">
        <v>0</v>
      </c>
      <c r="N476" s="5">
        <v>12000.0</v>
      </c>
      <c r="O476" s="5">
        <v>0.0</v>
      </c>
      <c r="P476" s="5">
        <v>0.0</v>
      </c>
      <c r="R476" s="5" t="b">
        <v>0</v>
      </c>
      <c r="U476" s="5" t="s">
        <v>1580</v>
      </c>
      <c r="V476" s="5" t="s">
        <v>1508</v>
      </c>
      <c r="W476" s="5" t="s">
        <v>1508</v>
      </c>
      <c r="X476" s="5" t="s">
        <v>1509</v>
      </c>
      <c r="Z476" s="5">
        <v>0.0</v>
      </c>
      <c r="AA476" s="5" t="s">
        <v>779</v>
      </c>
      <c r="AB476" s="5">
        <v>12000.0</v>
      </c>
      <c r="AC476" s="5" t="s">
        <v>1510</v>
      </c>
      <c r="AD476" s="5" t="s">
        <v>1558</v>
      </c>
      <c r="AE476" s="5">
        <v>1007.0</v>
      </c>
      <c r="AF476" s="36">
        <v>46083.66969959491</v>
      </c>
    </row>
    <row r="477" ht="22.5" customHeight="1">
      <c r="A477" s="5" t="s">
        <v>2121</v>
      </c>
      <c r="B477" s="5" t="s">
        <v>1506</v>
      </c>
      <c r="C477" s="5" t="s">
        <v>2122</v>
      </c>
      <c r="D477" s="5" t="s">
        <v>14</v>
      </c>
      <c r="E477" s="25" t="s">
        <v>349</v>
      </c>
      <c r="F477" s="5" t="s">
        <v>350</v>
      </c>
      <c r="H477" s="35">
        <v>31441.0</v>
      </c>
      <c r="I477" s="5" t="s">
        <v>156</v>
      </c>
      <c r="J477" s="5" t="s">
        <v>17</v>
      </c>
      <c r="K477" s="5" t="b">
        <v>0</v>
      </c>
      <c r="L477" s="5" t="b">
        <v>0</v>
      </c>
      <c r="N477" s="5">
        <v>1500.0</v>
      </c>
      <c r="O477" s="5">
        <v>0.0</v>
      </c>
      <c r="P477" s="5">
        <v>0.0</v>
      </c>
      <c r="R477" s="5" t="b">
        <v>0</v>
      </c>
      <c r="U477" s="5" t="s">
        <v>1517</v>
      </c>
      <c r="V477" s="5" t="s">
        <v>1508</v>
      </c>
      <c r="W477" s="5" t="s">
        <v>1508</v>
      </c>
      <c r="X477" s="5" t="s">
        <v>1509</v>
      </c>
      <c r="Z477" s="5">
        <v>1500.0</v>
      </c>
      <c r="AB477" s="5">
        <v>0.0</v>
      </c>
      <c r="AC477" s="5" t="s">
        <v>1510</v>
      </c>
      <c r="AE477" s="5">
        <v>4053.0</v>
      </c>
      <c r="AF477" s="36">
        <v>46083.59054549768</v>
      </c>
    </row>
    <row r="478" ht="22.5" hidden="1" customHeight="1">
      <c r="A478" s="5" t="s">
        <v>2123</v>
      </c>
      <c r="B478" s="5" t="s">
        <v>1506</v>
      </c>
      <c r="C478" s="5" t="s">
        <v>897</v>
      </c>
      <c r="D478" s="5" t="s">
        <v>14</v>
      </c>
      <c r="E478" s="5">
        <v>9.843676789E9</v>
      </c>
      <c r="F478" s="5" t="s">
        <v>898</v>
      </c>
      <c r="G478" s="5">
        <v>6791619.0</v>
      </c>
      <c r="H478" s="35">
        <v>34316.0</v>
      </c>
      <c r="I478" s="5" t="s">
        <v>16</v>
      </c>
      <c r="J478" s="5" t="s">
        <v>42</v>
      </c>
      <c r="K478" s="5" t="b">
        <v>0</v>
      </c>
      <c r="L478" s="5" t="b">
        <v>0</v>
      </c>
      <c r="N478" s="5">
        <v>7500.0</v>
      </c>
      <c r="O478" s="5">
        <v>0.0</v>
      </c>
      <c r="P478" s="5">
        <v>0.0</v>
      </c>
      <c r="R478" s="5" t="b">
        <v>0</v>
      </c>
      <c r="U478" s="5" t="s">
        <v>1507</v>
      </c>
      <c r="V478" s="5" t="s">
        <v>1508</v>
      </c>
      <c r="W478" s="5" t="s">
        <v>1508</v>
      </c>
      <c r="X478" s="5" t="s">
        <v>1509</v>
      </c>
      <c r="Z478" s="5">
        <v>6000.0</v>
      </c>
      <c r="AA478" s="5" t="s">
        <v>1515</v>
      </c>
      <c r="AB478" s="5">
        <v>1500.0</v>
      </c>
      <c r="AC478" s="5" t="s">
        <v>1510</v>
      </c>
      <c r="AE478" s="5">
        <v>2059.0</v>
      </c>
      <c r="AF478" s="36">
        <v>46083.58814675926</v>
      </c>
    </row>
    <row r="479" ht="22.5" hidden="1" customHeight="1">
      <c r="A479" s="5" t="s">
        <v>2124</v>
      </c>
      <c r="B479" s="5" t="s">
        <v>1506</v>
      </c>
      <c r="C479" s="5" t="s">
        <v>1423</v>
      </c>
      <c r="D479" s="5" t="s">
        <v>14</v>
      </c>
      <c r="E479" s="5">
        <v>9.828728626E9</v>
      </c>
      <c r="F479" s="5" t="s">
        <v>1424</v>
      </c>
      <c r="G479" s="5">
        <v>6921807.0</v>
      </c>
      <c r="H479" s="35">
        <v>36319.0</v>
      </c>
      <c r="I479" s="5" t="s">
        <v>156</v>
      </c>
      <c r="J479" s="5" t="s">
        <v>46</v>
      </c>
      <c r="K479" s="5" t="b">
        <v>0</v>
      </c>
      <c r="L479" s="5" t="b">
        <v>0</v>
      </c>
      <c r="N479" s="5">
        <v>9000.0</v>
      </c>
      <c r="O479" s="5">
        <v>0.0</v>
      </c>
      <c r="P479" s="5">
        <v>0.0</v>
      </c>
      <c r="R479" s="5" t="b">
        <v>0</v>
      </c>
      <c r="U479" s="5" t="s">
        <v>1517</v>
      </c>
      <c r="V479" s="5" t="s">
        <v>1508</v>
      </c>
      <c r="W479" s="5" t="s">
        <v>1508</v>
      </c>
      <c r="X479" s="5" t="s">
        <v>1509</v>
      </c>
      <c r="Z479" s="5">
        <v>9000.0</v>
      </c>
      <c r="AB479" s="5">
        <v>0.0</v>
      </c>
      <c r="AC479" s="5" t="s">
        <v>1510</v>
      </c>
      <c r="AE479" s="5">
        <v>1519.0</v>
      </c>
      <c r="AF479" s="36">
        <v>46083.58716635417</v>
      </c>
    </row>
    <row r="480" ht="22.5" hidden="1" customHeight="1">
      <c r="A480" s="5" t="s">
        <v>2125</v>
      </c>
      <c r="B480" s="5" t="s">
        <v>1506</v>
      </c>
      <c r="C480" s="5" t="s">
        <v>805</v>
      </c>
      <c r="D480" s="5" t="s">
        <v>14</v>
      </c>
      <c r="E480" s="5">
        <v>9.861930112E9</v>
      </c>
      <c r="F480" s="5" t="s">
        <v>806</v>
      </c>
      <c r="H480" s="35">
        <v>37570.0</v>
      </c>
      <c r="I480" s="5" t="s">
        <v>156</v>
      </c>
      <c r="J480" s="5" t="s">
        <v>39</v>
      </c>
      <c r="K480" s="5" t="b">
        <v>0</v>
      </c>
      <c r="L480" s="5" t="b">
        <v>0</v>
      </c>
      <c r="N480" s="5">
        <v>3000.0</v>
      </c>
      <c r="O480" s="5">
        <v>0.0</v>
      </c>
      <c r="P480" s="5">
        <v>0.0</v>
      </c>
      <c r="R480" s="5" t="b">
        <v>0</v>
      </c>
      <c r="U480" s="5" t="s">
        <v>1517</v>
      </c>
      <c r="V480" s="5" t="s">
        <v>1508</v>
      </c>
      <c r="W480" s="5" t="s">
        <v>1508</v>
      </c>
      <c r="X480" s="5" t="s">
        <v>1509</v>
      </c>
      <c r="Z480" s="5">
        <v>2400.0</v>
      </c>
      <c r="AA480" s="5" t="s">
        <v>1515</v>
      </c>
      <c r="AB480" s="5">
        <v>600.0</v>
      </c>
      <c r="AC480" s="5" t="s">
        <v>1510</v>
      </c>
      <c r="AE480" s="5">
        <v>3029.0</v>
      </c>
      <c r="AF480" s="36">
        <v>46083.58503045139</v>
      </c>
    </row>
    <row r="481" ht="22.5" customHeight="1">
      <c r="A481" s="5" t="s">
        <v>2126</v>
      </c>
      <c r="B481" s="5" t="s">
        <v>1506</v>
      </c>
      <c r="C481" s="5" t="s">
        <v>351</v>
      </c>
      <c r="D481" s="5" t="s">
        <v>14</v>
      </c>
      <c r="E481" s="5">
        <v>9.844288985E9</v>
      </c>
      <c r="F481" s="5" t="s">
        <v>352</v>
      </c>
      <c r="H481" s="35">
        <v>37045.0</v>
      </c>
      <c r="I481" s="5" t="s">
        <v>156</v>
      </c>
      <c r="J481" s="5" t="s">
        <v>17</v>
      </c>
      <c r="K481" s="5" t="b">
        <v>0</v>
      </c>
      <c r="L481" s="5" t="b">
        <v>0</v>
      </c>
      <c r="N481" s="5">
        <v>1500.0</v>
      </c>
      <c r="O481" s="5">
        <v>0.0</v>
      </c>
      <c r="P481" s="5">
        <v>0.0</v>
      </c>
      <c r="R481" s="5" t="b">
        <v>0</v>
      </c>
      <c r="U481" s="5" t="s">
        <v>1514</v>
      </c>
      <c r="V481" s="5" t="s">
        <v>1508</v>
      </c>
      <c r="W481" s="5" t="s">
        <v>1508</v>
      </c>
      <c r="X481" s="5" t="s">
        <v>1509</v>
      </c>
      <c r="Z481" s="5">
        <v>1125.0</v>
      </c>
      <c r="AA481" s="5" t="s">
        <v>1979</v>
      </c>
      <c r="AB481" s="5">
        <v>375.0</v>
      </c>
      <c r="AC481" s="5" t="s">
        <v>1510</v>
      </c>
      <c r="AE481" s="5">
        <v>4052.0</v>
      </c>
      <c r="AF481" s="36">
        <v>46083.578196724535</v>
      </c>
    </row>
    <row r="482" ht="22.5" hidden="1" customHeight="1">
      <c r="A482" s="5" t="s">
        <v>2127</v>
      </c>
      <c r="B482" s="5" t="s">
        <v>1506</v>
      </c>
      <c r="C482" s="5" t="s">
        <v>1062</v>
      </c>
      <c r="D482" s="5" t="s">
        <v>14</v>
      </c>
      <c r="E482" s="5">
        <v>9.818444033E9</v>
      </c>
      <c r="F482" s="5" t="s">
        <v>1063</v>
      </c>
      <c r="G482" s="5">
        <v>6182720.0</v>
      </c>
      <c r="H482" s="35">
        <v>32948.0</v>
      </c>
      <c r="I482" s="5" t="s">
        <v>156</v>
      </c>
      <c r="J482" s="5" t="s">
        <v>42</v>
      </c>
      <c r="K482" s="5" t="b">
        <v>0</v>
      </c>
      <c r="L482" s="5" t="b">
        <v>0</v>
      </c>
      <c r="N482" s="5">
        <v>7500.0</v>
      </c>
      <c r="O482" s="5">
        <v>0.0</v>
      </c>
      <c r="P482" s="5">
        <v>0.0</v>
      </c>
      <c r="R482" s="5" t="b">
        <v>0</v>
      </c>
      <c r="U482" s="5" t="s">
        <v>1514</v>
      </c>
      <c r="V482" s="5" t="s">
        <v>1508</v>
      </c>
      <c r="W482" s="5" t="s">
        <v>1508</v>
      </c>
      <c r="X482" s="5" t="s">
        <v>1509</v>
      </c>
      <c r="Z482" s="5">
        <v>6375.0</v>
      </c>
      <c r="AA482" s="5" t="s">
        <v>2112</v>
      </c>
      <c r="AB482" s="5">
        <v>1125.0</v>
      </c>
      <c r="AC482" s="5" t="s">
        <v>1510</v>
      </c>
      <c r="AD482" s="5" t="s">
        <v>1551</v>
      </c>
      <c r="AE482" s="5">
        <v>2010.0</v>
      </c>
      <c r="AF482" s="36">
        <v>46083.54956717593</v>
      </c>
    </row>
    <row r="483" ht="22.5" hidden="1" customHeight="1">
      <c r="A483" s="5" t="s">
        <v>2128</v>
      </c>
      <c r="B483" s="5" t="s">
        <v>1506</v>
      </c>
      <c r="C483" s="5" t="s">
        <v>2129</v>
      </c>
      <c r="D483" s="5" t="s">
        <v>14</v>
      </c>
      <c r="E483" s="5" t="s">
        <v>808</v>
      </c>
      <c r="F483" s="5" t="s">
        <v>809</v>
      </c>
      <c r="H483" s="35">
        <v>40027.0</v>
      </c>
      <c r="I483" s="5" t="s">
        <v>156</v>
      </c>
      <c r="J483" s="5" t="s">
        <v>39</v>
      </c>
      <c r="K483" s="5" t="b">
        <v>0</v>
      </c>
      <c r="L483" s="5" t="b">
        <v>0</v>
      </c>
      <c r="N483" s="5">
        <v>3000.0</v>
      </c>
      <c r="O483" s="5">
        <v>0.0</v>
      </c>
      <c r="P483" s="5">
        <v>0.0</v>
      </c>
      <c r="R483" s="5" t="b">
        <v>0</v>
      </c>
      <c r="U483" s="5" t="s">
        <v>1514</v>
      </c>
      <c r="V483" s="5" t="s">
        <v>1508</v>
      </c>
      <c r="W483" s="5" t="s">
        <v>1508</v>
      </c>
      <c r="X483" s="5" t="s">
        <v>1509</v>
      </c>
      <c r="Z483" s="5">
        <v>0.0</v>
      </c>
      <c r="AA483" s="5" t="s">
        <v>779</v>
      </c>
      <c r="AB483" s="5">
        <v>3000.0</v>
      </c>
      <c r="AC483" s="5" t="s">
        <v>1510</v>
      </c>
      <c r="AD483" s="5" t="s">
        <v>1558</v>
      </c>
      <c r="AE483" s="5">
        <v>3005.0</v>
      </c>
      <c r="AF483" s="36">
        <v>46083.23536053241</v>
      </c>
    </row>
    <row r="484" ht="22.5" hidden="1" customHeight="1">
      <c r="A484" s="5" t="s">
        <v>2130</v>
      </c>
      <c r="B484" s="5" t="s">
        <v>1506</v>
      </c>
      <c r="C484" s="5" t="s">
        <v>899</v>
      </c>
      <c r="D484" s="5" t="s">
        <v>14</v>
      </c>
      <c r="E484" s="5">
        <v>9.841991415E9</v>
      </c>
      <c r="F484" s="5" t="s">
        <v>900</v>
      </c>
      <c r="G484" s="5" t="s">
        <v>899</v>
      </c>
      <c r="H484" s="35">
        <v>37093.0</v>
      </c>
      <c r="I484" s="5" t="s">
        <v>16</v>
      </c>
      <c r="J484" s="5" t="s">
        <v>42</v>
      </c>
      <c r="K484" s="5" t="b">
        <v>0</v>
      </c>
      <c r="L484" s="5" t="b">
        <v>0</v>
      </c>
      <c r="N484" s="5">
        <v>7500.0</v>
      </c>
      <c r="O484" s="5">
        <v>0.0</v>
      </c>
      <c r="P484" s="5">
        <v>0.0</v>
      </c>
      <c r="R484" s="5" t="b">
        <v>0</v>
      </c>
      <c r="U484" s="5" t="s">
        <v>1507</v>
      </c>
      <c r="V484" s="5" t="s">
        <v>1508</v>
      </c>
      <c r="W484" s="5" t="s">
        <v>1548</v>
      </c>
      <c r="X484" s="5" t="s">
        <v>1509</v>
      </c>
      <c r="Z484" s="5">
        <v>0.0</v>
      </c>
      <c r="AA484" s="5" t="s">
        <v>779</v>
      </c>
      <c r="AB484" s="5">
        <v>7500.0</v>
      </c>
      <c r="AC484" s="5" t="s">
        <v>1510</v>
      </c>
      <c r="AD484" s="5" t="s">
        <v>1558</v>
      </c>
      <c r="AE484" s="5">
        <v>2030.0</v>
      </c>
      <c r="AF484" s="36">
        <v>46083.19795789352</v>
      </c>
      <c r="AG484" s="5" t="s">
        <v>1549</v>
      </c>
    </row>
    <row r="485" ht="22.5" hidden="1" customHeight="1">
      <c r="A485" s="5" t="s">
        <v>2131</v>
      </c>
      <c r="B485" s="5" t="s">
        <v>1506</v>
      </c>
      <c r="C485" s="5" t="s">
        <v>1270</v>
      </c>
      <c r="D485" s="5" t="s">
        <v>14</v>
      </c>
      <c r="E485" s="5">
        <v>9.745915792E9</v>
      </c>
      <c r="F485" s="5" t="s">
        <v>1271</v>
      </c>
      <c r="G485" s="5" t="s">
        <v>1270</v>
      </c>
      <c r="H485" s="35">
        <v>37123.0</v>
      </c>
      <c r="I485" s="5" t="s">
        <v>156</v>
      </c>
      <c r="J485" s="5" t="s">
        <v>36</v>
      </c>
      <c r="K485" s="5" t="b">
        <v>0</v>
      </c>
      <c r="L485" s="5" t="b">
        <v>0</v>
      </c>
      <c r="N485" s="5">
        <v>12000.0</v>
      </c>
      <c r="O485" s="5">
        <v>0.0</v>
      </c>
      <c r="P485" s="5">
        <v>0.0</v>
      </c>
      <c r="R485" s="5" t="b">
        <v>0</v>
      </c>
      <c r="U485" s="5" t="s">
        <v>1517</v>
      </c>
      <c r="V485" s="5" t="s">
        <v>1508</v>
      </c>
      <c r="W485" s="5" t="s">
        <v>1508</v>
      </c>
      <c r="X485" s="5" t="s">
        <v>1509</v>
      </c>
      <c r="Z485" s="5">
        <v>0.0</v>
      </c>
      <c r="AA485" s="5" t="s">
        <v>779</v>
      </c>
      <c r="AB485" s="5">
        <v>12000.0</v>
      </c>
      <c r="AC485" s="5" t="s">
        <v>1510</v>
      </c>
      <c r="AD485" s="5" t="s">
        <v>1558</v>
      </c>
      <c r="AE485" s="5">
        <v>1008.0</v>
      </c>
      <c r="AF485" s="36">
        <v>46083.184124722226</v>
      </c>
    </row>
    <row r="486" ht="22.5" customHeight="1">
      <c r="A486" s="5" t="s">
        <v>2132</v>
      </c>
      <c r="B486" s="5" t="s">
        <v>1506</v>
      </c>
      <c r="C486" s="5" t="s">
        <v>353</v>
      </c>
      <c r="D486" s="5" t="s">
        <v>14</v>
      </c>
      <c r="E486" s="25" t="s">
        <v>354</v>
      </c>
      <c r="F486" s="5" t="s">
        <v>355</v>
      </c>
      <c r="H486" s="35">
        <v>33458.0</v>
      </c>
      <c r="I486" s="5" t="s">
        <v>156</v>
      </c>
      <c r="J486" s="5" t="s">
        <v>17</v>
      </c>
      <c r="K486" s="5" t="b">
        <v>0</v>
      </c>
      <c r="L486" s="5" t="b">
        <v>0</v>
      </c>
      <c r="N486" s="5">
        <v>1500.0</v>
      </c>
      <c r="O486" s="5">
        <v>0.0</v>
      </c>
      <c r="P486" s="5">
        <v>0.0</v>
      </c>
      <c r="R486" s="5" t="b">
        <v>0</v>
      </c>
      <c r="U486" s="5" t="s">
        <v>1578</v>
      </c>
      <c r="V486" s="5" t="s">
        <v>1508</v>
      </c>
      <c r="W486" s="5" t="s">
        <v>1508</v>
      </c>
      <c r="X486" s="5" t="s">
        <v>1509</v>
      </c>
      <c r="Z486" s="5">
        <v>1125.0</v>
      </c>
      <c r="AA486" s="5" t="s">
        <v>1979</v>
      </c>
      <c r="AB486" s="5">
        <v>375.0</v>
      </c>
      <c r="AC486" s="5" t="s">
        <v>1510</v>
      </c>
      <c r="AE486" s="5">
        <v>4051.0</v>
      </c>
      <c r="AF486" s="36">
        <v>46083.16741429398</v>
      </c>
    </row>
    <row r="487" ht="22.5" hidden="1" customHeight="1">
      <c r="A487" s="5" t="s">
        <v>2133</v>
      </c>
      <c r="B487" s="5" t="s">
        <v>1506</v>
      </c>
      <c r="C487" s="5" t="s">
        <v>1272</v>
      </c>
      <c r="D487" s="5" t="s">
        <v>14</v>
      </c>
      <c r="E487" s="5">
        <v>9.76748902E8</v>
      </c>
      <c r="F487" s="5" t="s">
        <v>1273</v>
      </c>
      <c r="G487" s="5" t="s">
        <v>1272</v>
      </c>
      <c r="H487" s="35">
        <v>33675.0</v>
      </c>
      <c r="I487" s="5" t="s">
        <v>156</v>
      </c>
      <c r="J487" s="5" t="s">
        <v>36</v>
      </c>
      <c r="K487" s="5" t="b">
        <v>0</v>
      </c>
      <c r="L487" s="5" t="b">
        <v>0</v>
      </c>
      <c r="N487" s="5">
        <v>12000.0</v>
      </c>
      <c r="O487" s="5">
        <v>0.0</v>
      </c>
      <c r="P487" s="5">
        <v>0.0</v>
      </c>
      <c r="R487" s="5" t="b">
        <v>0</v>
      </c>
      <c r="U487" s="5" t="s">
        <v>1519</v>
      </c>
      <c r="V487" s="5" t="s">
        <v>1508</v>
      </c>
      <c r="W487" s="5" t="s">
        <v>1548</v>
      </c>
      <c r="X487" s="5" t="s">
        <v>1509</v>
      </c>
      <c r="Z487" s="5">
        <v>0.0</v>
      </c>
      <c r="AA487" s="5" t="s">
        <v>779</v>
      </c>
      <c r="AB487" s="5">
        <v>12000.0</v>
      </c>
      <c r="AC487" s="5" t="s">
        <v>1510</v>
      </c>
      <c r="AD487" s="5" t="s">
        <v>1558</v>
      </c>
      <c r="AE487" s="5">
        <v>1009.0</v>
      </c>
      <c r="AF487" s="36">
        <v>46082.92837706018</v>
      </c>
      <c r="AG487" s="5" t="s">
        <v>1549</v>
      </c>
    </row>
    <row r="488" ht="22.5" hidden="1" customHeight="1">
      <c r="A488" s="5" t="s">
        <v>2134</v>
      </c>
      <c r="B488" s="5" t="s">
        <v>1506</v>
      </c>
      <c r="C488" s="5" t="s">
        <v>1064</v>
      </c>
      <c r="D488" s="5" t="s">
        <v>14</v>
      </c>
      <c r="E488" s="5">
        <v>9.855012042E9</v>
      </c>
      <c r="F488" s="5" t="s">
        <v>1065</v>
      </c>
      <c r="G488" s="5">
        <v>6946947.0</v>
      </c>
      <c r="H488" s="35">
        <v>32685.0</v>
      </c>
      <c r="I488" s="5" t="s">
        <v>156</v>
      </c>
      <c r="J488" s="5" t="s">
        <v>42</v>
      </c>
      <c r="K488" s="5" t="b">
        <v>0</v>
      </c>
      <c r="L488" s="5" t="b">
        <v>0</v>
      </c>
      <c r="N488" s="5">
        <v>7500.0</v>
      </c>
      <c r="O488" s="5">
        <v>0.0</v>
      </c>
      <c r="P488" s="5">
        <v>0.0</v>
      </c>
      <c r="R488" s="5" t="b">
        <v>0</v>
      </c>
      <c r="U488" s="5" t="s">
        <v>1519</v>
      </c>
      <c r="V488" s="5" t="s">
        <v>1508</v>
      </c>
      <c r="W488" s="5" t="s">
        <v>1548</v>
      </c>
      <c r="X488" s="5" t="s">
        <v>1509</v>
      </c>
      <c r="Z488" s="5">
        <v>7500.0</v>
      </c>
      <c r="AB488" s="5">
        <v>0.0</v>
      </c>
      <c r="AC488" s="5" t="s">
        <v>1510</v>
      </c>
      <c r="AE488" s="5">
        <v>2058.0</v>
      </c>
      <c r="AF488" s="36">
        <v>46082.244790543984</v>
      </c>
      <c r="AG488" s="5" t="s">
        <v>1549</v>
      </c>
    </row>
    <row r="489" ht="22.5" hidden="1" customHeight="1">
      <c r="A489" s="5" t="s">
        <v>2135</v>
      </c>
      <c r="B489" s="5" t="s">
        <v>1506</v>
      </c>
      <c r="C489" s="5" t="s">
        <v>1425</v>
      </c>
      <c r="D489" s="5" t="s">
        <v>14</v>
      </c>
      <c r="E489" s="25" t="s">
        <v>1426</v>
      </c>
      <c r="F489" s="5" t="s">
        <v>1427</v>
      </c>
      <c r="H489" s="35">
        <v>29087.0</v>
      </c>
      <c r="I489" s="5" t="s">
        <v>156</v>
      </c>
      <c r="J489" s="5" t="s">
        <v>46</v>
      </c>
      <c r="K489" s="5" t="b">
        <v>0</v>
      </c>
      <c r="L489" s="5" t="b">
        <v>0</v>
      </c>
      <c r="N489" s="5">
        <v>9000.0</v>
      </c>
      <c r="O489" s="5">
        <v>0.0</v>
      </c>
      <c r="P489" s="5">
        <v>0.0</v>
      </c>
      <c r="R489" s="5" t="b">
        <v>0</v>
      </c>
      <c r="U489" s="5" t="s">
        <v>1519</v>
      </c>
      <c r="V489" s="5" t="s">
        <v>1508</v>
      </c>
      <c r="W489" s="5" t="s">
        <v>1548</v>
      </c>
      <c r="X489" s="5" t="s">
        <v>1509</v>
      </c>
      <c r="Z489" s="5">
        <v>9000.0</v>
      </c>
      <c r="AB489" s="5">
        <v>0.0</v>
      </c>
      <c r="AC489" s="5" t="s">
        <v>1510</v>
      </c>
      <c r="AE489" s="5">
        <v>1518.0</v>
      </c>
      <c r="AF489" s="36">
        <v>46081.61259711806</v>
      </c>
      <c r="AG489" s="5" t="s">
        <v>1549</v>
      </c>
    </row>
    <row r="490" ht="22.5" hidden="1" customHeight="1">
      <c r="A490" s="5" t="s">
        <v>2136</v>
      </c>
      <c r="B490" s="5" t="s">
        <v>1506</v>
      </c>
      <c r="C490" s="5" t="s">
        <v>2137</v>
      </c>
      <c r="D490" s="5" t="s">
        <v>14</v>
      </c>
      <c r="E490" s="25" t="s">
        <v>1067</v>
      </c>
      <c r="F490" s="5" t="s">
        <v>1068</v>
      </c>
      <c r="G490" s="5">
        <v>154878.0</v>
      </c>
      <c r="H490" s="35">
        <v>30355.0</v>
      </c>
      <c r="I490" s="5" t="s">
        <v>156</v>
      </c>
      <c r="J490" s="5" t="s">
        <v>42</v>
      </c>
      <c r="K490" s="5" t="b">
        <v>0</v>
      </c>
      <c r="L490" s="5" t="b">
        <v>0</v>
      </c>
      <c r="N490" s="5">
        <v>7500.0</v>
      </c>
      <c r="O490" s="5">
        <v>0.0</v>
      </c>
      <c r="P490" s="5">
        <v>0.0</v>
      </c>
      <c r="R490" s="5" t="b">
        <v>0</v>
      </c>
      <c r="U490" s="5" t="s">
        <v>1519</v>
      </c>
      <c r="V490" s="5" t="s">
        <v>1508</v>
      </c>
      <c r="W490" s="5" t="s">
        <v>1548</v>
      </c>
      <c r="X490" s="5" t="s">
        <v>1509</v>
      </c>
      <c r="Z490" s="5">
        <v>0.0</v>
      </c>
      <c r="AA490" s="5" t="s">
        <v>779</v>
      </c>
      <c r="AB490" s="5">
        <v>7500.0</v>
      </c>
      <c r="AC490" s="5" t="s">
        <v>1510</v>
      </c>
      <c r="AD490" s="5" t="s">
        <v>1558</v>
      </c>
      <c r="AE490" s="5">
        <v>2011.0</v>
      </c>
      <c r="AF490" s="36">
        <v>46081.529160300925</v>
      </c>
      <c r="AG490" s="5" t="s">
        <v>1549</v>
      </c>
    </row>
    <row r="491" ht="22.5" hidden="1" customHeight="1">
      <c r="A491" s="5" t="s">
        <v>2138</v>
      </c>
      <c r="B491" s="5" t="s">
        <v>1506</v>
      </c>
      <c r="C491" s="5" t="s">
        <v>2139</v>
      </c>
      <c r="D491" s="5" t="s">
        <v>904</v>
      </c>
      <c r="E491" s="25" t="s">
        <v>1439</v>
      </c>
      <c r="F491" s="5" t="s">
        <v>1440</v>
      </c>
      <c r="G491" s="5">
        <v>6202982.0</v>
      </c>
      <c r="H491" s="35">
        <v>32143.0</v>
      </c>
      <c r="I491" s="5" t="s">
        <v>156</v>
      </c>
      <c r="J491" s="5" t="s">
        <v>46</v>
      </c>
      <c r="K491" s="5" t="b">
        <v>0</v>
      </c>
      <c r="L491" s="5" t="b">
        <v>0</v>
      </c>
      <c r="N491" s="5">
        <v>120.0</v>
      </c>
      <c r="O491" s="5">
        <v>0.0</v>
      </c>
      <c r="P491" s="5">
        <v>0.0</v>
      </c>
      <c r="R491" s="5" t="b">
        <v>0</v>
      </c>
      <c r="U491" s="5" t="s">
        <v>1519</v>
      </c>
      <c r="V491" s="5" t="s">
        <v>1508</v>
      </c>
      <c r="W491" s="5" t="s">
        <v>1508</v>
      </c>
      <c r="X491" s="5" t="s">
        <v>1509</v>
      </c>
      <c r="Z491" s="5">
        <v>90.0</v>
      </c>
      <c r="AA491" s="5" t="s">
        <v>1649</v>
      </c>
      <c r="AB491" s="5">
        <v>30.0</v>
      </c>
      <c r="AC491" s="5" t="s">
        <v>1546</v>
      </c>
      <c r="AD491" s="5" t="s">
        <v>1551</v>
      </c>
      <c r="AE491" s="5">
        <v>1504.0</v>
      </c>
      <c r="AF491" s="36">
        <v>46081.49065849537</v>
      </c>
    </row>
    <row r="492" ht="22.5" hidden="1" customHeight="1">
      <c r="A492" s="5" t="s">
        <v>2140</v>
      </c>
      <c r="B492" s="5" t="s">
        <v>1506</v>
      </c>
      <c r="C492" s="5" t="s">
        <v>1069</v>
      </c>
      <c r="D492" s="5" t="s">
        <v>14</v>
      </c>
      <c r="E492" s="5">
        <v>9.841207504E9</v>
      </c>
      <c r="F492" s="5" t="s">
        <v>1070</v>
      </c>
      <c r="G492" s="5">
        <v>5715704.0</v>
      </c>
      <c r="H492" s="35">
        <v>28851.0</v>
      </c>
      <c r="I492" s="5" t="s">
        <v>156</v>
      </c>
      <c r="J492" s="5" t="s">
        <v>42</v>
      </c>
      <c r="K492" s="5" t="b">
        <v>0</v>
      </c>
      <c r="L492" s="5" t="b">
        <v>0</v>
      </c>
      <c r="N492" s="5">
        <v>7500.0</v>
      </c>
      <c r="O492" s="5">
        <v>0.0</v>
      </c>
      <c r="P492" s="5">
        <v>0.0</v>
      </c>
      <c r="R492" s="5" t="b">
        <v>0</v>
      </c>
      <c r="U492" s="5" t="s">
        <v>1517</v>
      </c>
      <c r="V492" s="5" t="s">
        <v>1508</v>
      </c>
      <c r="W492" s="5" t="s">
        <v>1508</v>
      </c>
      <c r="X492" s="5" t="s">
        <v>1509</v>
      </c>
      <c r="Z492" s="5">
        <v>6000.0</v>
      </c>
      <c r="AA492" s="5" t="s">
        <v>1515</v>
      </c>
      <c r="AB492" s="5">
        <v>1500.0</v>
      </c>
      <c r="AC492" s="5" t="s">
        <v>1510</v>
      </c>
      <c r="AE492" s="5">
        <v>2057.0</v>
      </c>
      <c r="AF492" s="36">
        <v>46081.26341756945</v>
      </c>
    </row>
    <row r="493" ht="22.5" customHeight="1">
      <c r="A493" s="5" t="s">
        <v>2141</v>
      </c>
      <c r="B493" s="5" t="s">
        <v>1506</v>
      </c>
      <c r="C493" s="5" t="s">
        <v>356</v>
      </c>
      <c r="D493" s="5" t="s">
        <v>14</v>
      </c>
      <c r="E493" s="5">
        <v>9.861879731E9</v>
      </c>
      <c r="F493" s="5" t="s">
        <v>357</v>
      </c>
      <c r="H493" s="35">
        <v>38403.0</v>
      </c>
      <c r="I493" s="5" t="s">
        <v>156</v>
      </c>
      <c r="J493" s="5" t="s">
        <v>17</v>
      </c>
      <c r="K493" s="5" t="b">
        <v>0</v>
      </c>
      <c r="L493" s="5" t="b">
        <v>0</v>
      </c>
      <c r="N493" s="5">
        <v>1500.0</v>
      </c>
      <c r="O493" s="5">
        <v>0.0</v>
      </c>
      <c r="P493" s="5">
        <v>0.0</v>
      </c>
      <c r="R493" s="5" t="b">
        <v>0</v>
      </c>
      <c r="U493" s="5" t="s">
        <v>1519</v>
      </c>
      <c r="V493" s="5" t="s">
        <v>1508</v>
      </c>
      <c r="W493" s="5" t="s">
        <v>1508</v>
      </c>
      <c r="X493" s="5" t="s">
        <v>1509</v>
      </c>
      <c r="Z493" s="5">
        <v>1500.0</v>
      </c>
      <c r="AB493" s="5">
        <v>0.0</v>
      </c>
      <c r="AC493" s="5" t="s">
        <v>1510</v>
      </c>
      <c r="AD493" s="5" t="s">
        <v>1511</v>
      </c>
      <c r="AE493" s="5">
        <v>4181.0</v>
      </c>
      <c r="AF493" s="36">
        <v>46080.52340380787</v>
      </c>
    </row>
    <row r="494" ht="22.5" customHeight="1">
      <c r="A494" s="5" t="s">
        <v>2142</v>
      </c>
      <c r="B494" s="5" t="s">
        <v>1506</v>
      </c>
      <c r="C494" s="5" t="s">
        <v>124</v>
      </c>
      <c r="D494" s="5" t="s">
        <v>14</v>
      </c>
      <c r="E494" s="5">
        <v>9.860469551E9</v>
      </c>
      <c r="F494" s="5" t="s">
        <v>125</v>
      </c>
      <c r="H494" s="35">
        <v>36067.0</v>
      </c>
      <c r="I494" s="5" t="s">
        <v>16</v>
      </c>
      <c r="J494" s="5" t="s">
        <v>17</v>
      </c>
      <c r="K494" s="5" t="b">
        <v>0</v>
      </c>
      <c r="L494" s="5" t="b">
        <v>0</v>
      </c>
      <c r="N494" s="5">
        <v>1500.0</v>
      </c>
      <c r="O494" s="5">
        <v>0.0</v>
      </c>
      <c r="P494" s="5">
        <v>0.0</v>
      </c>
      <c r="R494" s="5" t="b">
        <v>0</v>
      </c>
      <c r="U494" s="5" t="s">
        <v>1519</v>
      </c>
      <c r="V494" s="5" t="s">
        <v>1508</v>
      </c>
      <c r="W494" s="5" t="s">
        <v>1508</v>
      </c>
      <c r="X494" s="5" t="s">
        <v>1509</v>
      </c>
      <c r="Z494" s="5">
        <v>1200.0</v>
      </c>
      <c r="AA494" s="5" t="s">
        <v>1591</v>
      </c>
      <c r="AB494" s="5">
        <v>300.0</v>
      </c>
      <c r="AC494" s="5" t="s">
        <v>1510</v>
      </c>
      <c r="AE494" s="5">
        <v>4050.0</v>
      </c>
      <c r="AF494" s="36">
        <v>46080.38753454861</v>
      </c>
    </row>
    <row r="495" ht="22.5" hidden="1" customHeight="1">
      <c r="A495" s="5" t="s">
        <v>2143</v>
      </c>
      <c r="B495" s="5" t="s">
        <v>1506</v>
      </c>
      <c r="C495" s="5" t="s">
        <v>1428</v>
      </c>
      <c r="D495" s="5" t="s">
        <v>14</v>
      </c>
      <c r="E495" s="25" t="s">
        <v>1429</v>
      </c>
      <c r="F495" s="5" t="s">
        <v>1430</v>
      </c>
      <c r="G495" s="5">
        <v>5185165.0</v>
      </c>
      <c r="H495" s="35">
        <v>29223.0</v>
      </c>
      <c r="I495" s="5" t="s">
        <v>156</v>
      </c>
      <c r="J495" s="5" t="s">
        <v>46</v>
      </c>
      <c r="K495" s="5" t="b">
        <v>0</v>
      </c>
      <c r="L495" s="5" t="b">
        <v>0</v>
      </c>
      <c r="N495" s="5">
        <v>9000.0</v>
      </c>
      <c r="O495" s="5">
        <v>0.0</v>
      </c>
      <c r="P495" s="5">
        <v>0.0</v>
      </c>
      <c r="R495" s="5" t="b">
        <v>0</v>
      </c>
      <c r="U495" s="5" t="s">
        <v>1517</v>
      </c>
      <c r="V495" s="5" t="s">
        <v>1508</v>
      </c>
      <c r="W495" s="5" t="s">
        <v>1508</v>
      </c>
      <c r="X495" s="5" t="s">
        <v>1509</v>
      </c>
      <c r="Z495" s="5">
        <v>6750.0</v>
      </c>
      <c r="AA495" s="5" t="s">
        <v>1979</v>
      </c>
      <c r="AB495" s="5">
        <v>2250.0</v>
      </c>
      <c r="AC495" s="5" t="s">
        <v>1510</v>
      </c>
      <c r="AE495" s="5">
        <v>1517.0</v>
      </c>
      <c r="AF495" s="36">
        <v>46080.31823950232</v>
      </c>
    </row>
    <row r="496" ht="22.5" hidden="1" customHeight="1">
      <c r="A496" s="5" t="s">
        <v>2144</v>
      </c>
      <c r="B496" s="5" t="s">
        <v>1506</v>
      </c>
      <c r="C496" s="5" t="s">
        <v>810</v>
      </c>
      <c r="D496" s="5" t="s">
        <v>14</v>
      </c>
      <c r="E496" s="5">
        <v>9.851208528E9</v>
      </c>
      <c r="F496" s="5" t="s">
        <v>811</v>
      </c>
      <c r="G496" s="5" t="s">
        <v>812</v>
      </c>
      <c r="H496" s="35">
        <v>32708.0</v>
      </c>
      <c r="I496" s="5" t="s">
        <v>156</v>
      </c>
      <c r="J496" s="5" t="s">
        <v>39</v>
      </c>
      <c r="K496" s="5" t="b">
        <v>0</v>
      </c>
      <c r="L496" s="5" t="b">
        <v>0</v>
      </c>
      <c r="N496" s="5">
        <v>3000.0</v>
      </c>
      <c r="O496" s="5">
        <v>0.0</v>
      </c>
      <c r="P496" s="5">
        <v>0.0</v>
      </c>
      <c r="R496" s="5" t="b">
        <v>0</v>
      </c>
      <c r="U496" s="5" t="s">
        <v>1514</v>
      </c>
      <c r="V496" s="5" t="s">
        <v>1508</v>
      </c>
      <c r="W496" s="5" t="s">
        <v>1508</v>
      </c>
      <c r="X496" s="5" t="s">
        <v>1509</v>
      </c>
      <c r="Z496" s="5">
        <v>2250.0</v>
      </c>
      <c r="AA496" s="5" t="s">
        <v>1979</v>
      </c>
      <c r="AB496" s="5">
        <v>750.0</v>
      </c>
      <c r="AC496" s="5" t="s">
        <v>1510</v>
      </c>
      <c r="AE496" s="5">
        <v>3028.0</v>
      </c>
      <c r="AF496" s="36">
        <v>46080.145722835645</v>
      </c>
    </row>
    <row r="497" ht="22.5" hidden="1" customHeight="1">
      <c r="A497" s="5" t="s">
        <v>2145</v>
      </c>
      <c r="B497" s="5" t="s">
        <v>1506</v>
      </c>
      <c r="C497" s="5" t="s">
        <v>1071</v>
      </c>
      <c r="D497" s="5" t="s">
        <v>14</v>
      </c>
      <c r="E497" s="5" t="s">
        <v>1072</v>
      </c>
      <c r="F497" s="5" t="s">
        <v>1073</v>
      </c>
      <c r="H497" s="35">
        <v>37566.0</v>
      </c>
      <c r="I497" s="5" t="s">
        <v>156</v>
      </c>
      <c r="J497" s="5" t="s">
        <v>42</v>
      </c>
      <c r="K497" s="5" t="b">
        <v>0</v>
      </c>
      <c r="L497" s="5" t="b">
        <v>1</v>
      </c>
      <c r="M497" s="5" t="s">
        <v>42</v>
      </c>
      <c r="N497" s="5">
        <v>7500.0</v>
      </c>
      <c r="O497" s="5">
        <v>7500.0</v>
      </c>
      <c r="P497" s="5">
        <v>0.0</v>
      </c>
      <c r="R497" s="5" t="b">
        <v>1</v>
      </c>
      <c r="S497" s="5" t="s">
        <v>1721</v>
      </c>
      <c r="U497" s="5" t="s">
        <v>1519</v>
      </c>
      <c r="V497" s="5" t="s">
        <v>1508</v>
      </c>
      <c r="W497" s="5" t="s">
        <v>1548</v>
      </c>
      <c r="X497" s="5" t="s">
        <v>1509</v>
      </c>
      <c r="Z497" s="5">
        <v>15000.0</v>
      </c>
      <c r="AB497" s="5">
        <v>0.0</v>
      </c>
      <c r="AC497" s="5" t="s">
        <v>1510</v>
      </c>
      <c r="AD497" s="5" t="s">
        <v>1511</v>
      </c>
      <c r="AE497" s="5">
        <v>2139.0</v>
      </c>
      <c r="AF497" s="36">
        <v>46079.56876458333</v>
      </c>
      <c r="AG497" s="5" t="s">
        <v>2146</v>
      </c>
    </row>
    <row r="498" ht="22.5" customHeight="1">
      <c r="A498" s="5" t="s">
        <v>2147</v>
      </c>
      <c r="B498" s="5" t="s">
        <v>1506</v>
      </c>
      <c r="C498" s="5" t="s">
        <v>358</v>
      </c>
      <c r="D498" s="5" t="s">
        <v>14</v>
      </c>
      <c r="E498" s="5">
        <v>9.844820933E9</v>
      </c>
      <c r="F498" s="5" t="s">
        <v>359</v>
      </c>
      <c r="H498" s="35">
        <v>36269.0</v>
      </c>
      <c r="I498" s="5" t="s">
        <v>156</v>
      </c>
      <c r="J498" s="5" t="s">
        <v>17</v>
      </c>
      <c r="K498" s="5" t="b">
        <v>0</v>
      </c>
      <c r="L498" s="5" t="b">
        <v>0</v>
      </c>
      <c r="N498" s="5">
        <v>1500.0</v>
      </c>
      <c r="O498" s="5">
        <v>0.0</v>
      </c>
      <c r="P498" s="5">
        <v>0.0</v>
      </c>
      <c r="R498" s="5" t="b">
        <v>0</v>
      </c>
      <c r="U498" s="5" t="s">
        <v>1517</v>
      </c>
      <c r="V498" s="5" t="s">
        <v>1508</v>
      </c>
      <c r="W498" s="5" t="s">
        <v>1508</v>
      </c>
      <c r="X498" s="5" t="s">
        <v>1509</v>
      </c>
      <c r="Z498" s="5">
        <v>1200.0</v>
      </c>
      <c r="AA498" s="5" t="s">
        <v>1591</v>
      </c>
      <c r="AB498" s="5">
        <v>300.0</v>
      </c>
      <c r="AC498" s="5" t="s">
        <v>1510</v>
      </c>
      <c r="AD498" s="5" t="s">
        <v>1511</v>
      </c>
      <c r="AE498" s="5">
        <v>4006.0</v>
      </c>
      <c r="AF498" s="36">
        <v>46079.39162042824</v>
      </c>
    </row>
    <row r="499" ht="22.5" hidden="1" customHeight="1">
      <c r="A499" s="5" t="s">
        <v>2148</v>
      </c>
      <c r="B499" s="5" t="s">
        <v>1506</v>
      </c>
      <c r="C499" s="5" t="s">
        <v>407</v>
      </c>
      <c r="D499" s="5" t="s">
        <v>14</v>
      </c>
      <c r="E499" s="5">
        <v>9.851205837E9</v>
      </c>
      <c r="F499" s="5" t="s">
        <v>1223</v>
      </c>
      <c r="G499" s="5">
        <v>3092755.0</v>
      </c>
      <c r="H499" s="35">
        <v>29713.0</v>
      </c>
      <c r="I499" s="5" t="s">
        <v>156</v>
      </c>
      <c r="J499" s="5" t="s">
        <v>36</v>
      </c>
      <c r="K499" s="5" t="b">
        <v>0</v>
      </c>
      <c r="L499" s="5" t="b">
        <v>0</v>
      </c>
      <c r="N499" s="5">
        <v>12000.0</v>
      </c>
      <c r="O499" s="5">
        <v>0.0</v>
      </c>
      <c r="P499" s="5">
        <v>0.0</v>
      </c>
      <c r="R499" s="5" t="b">
        <v>0</v>
      </c>
      <c r="U499" s="5" t="s">
        <v>1517</v>
      </c>
      <c r="V499" s="5" t="s">
        <v>1508</v>
      </c>
      <c r="W499" s="5" t="s">
        <v>1508</v>
      </c>
      <c r="X499" s="5" t="s">
        <v>1509</v>
      </c>
      <c r="Z499" s="5">
        <v>9000.0</v>
      </c>
      <c r="AA499" s="5" t="s">
        <v>1556</v>
      </c>
      <c r="AB499" s="5">
        <v>3000.0</v>
      </c>
      <c r="AC499" s="5" t="s">
        <v>1546</v>
      </c>
      <c r="AD499" s="5" t="s">
        <v>1558</v>
      </c>
      <c r="AE499" s="5">
        <v>1014.0</v>
      </c>
      <c r="AF499" s="36">
        <v>46079.32300416667</v>
      </c>
    </row>
    <row r="500" ht="22.5" hidden="1" customHeight="1">
      <c r="A500" s="5" t="s">
        <v>2149</v>
      </c>
      <c r="B500" s="5" t="s">
        <v>1506</v>
      </c>
      <c r="C500" s="5" t="s">
        <v>813</v>
      </c>
      <c r="D500" s="5" t="s">
        <v>14</v>
      </c>
      <c r="E500" s="5">
        <v>9.851049084E9</v>
      </c>
      <c r="F500" s="5" t="s">
        <v>814</v>
      </c>
      <c r="G500" s="5">
        <v>6247943.0</v>
      </c>
      <c r="H500" s="35">
        <v>27940.0</v>
      </c>
      <c r="I500" s="5" t="s">
        <v>156</v>
      </c>
      <c r="J500" s="5" t="s">
        <v>39</v>
      </c>
      <c r="K500" s="5" t="b">
        <v>0</v>
      </c>
      <c r="L500" s="5" t="b">
        <v>0</v>
      </c>
      <c r="N500" s="5">
        <v>3000.0</v>
      </c>
      <c r="O500" s="5">
        <v>0.0</v>
      </c>
      <c r="P500" s="5">
        <v>0.0</v>
      </c>
      <c r="R500" s="5" t="b">
        <v>0</v>
      </c>
      <c r="U500" s="5" t="s">
        <v>1517</v>
      </c>
      <c r="V500" s="5" t="s">
        <v>1508</v>
      </c>
      <c r="W500" s="5" t="s">
        <v>1508</v>
      </c>
      <c r="X500" s="5" t="s">
        <v>1509</v>
      </c>
      <c r="Z500" s="5">
        <v>2250.0</v>
      </c>
      <c r="AA500" s="5" t="s">
        <v>1556</v>
      </c>
      <c r="AB500" s="5">
        <v>750.0</v>
      </c>
      <c r="AC500" s="5" t="s">
        <v>1510</v>
      </c>
      <c r="AE500" s="5">
        <v>3027.0</v>
      </c>
      <c r="AF500" s="36">
        <v>46079.31578827546</v>
      </c>
    </row>
    <row r="501" ht="22.5" hidden="1" customHeight="1">
      <c r="A501" s="5" t="s">
        <v>2150</v>
      </c>
      <c r="B501" s="5" t="s">
        <v>1506</v>
      </c>
      <c r="C501" s="5" t="s">
        <v>1074</v>
      </c>
      <c r="D501" s="5" t="s">
        <v>14</v>
      </c>
      <c r="E501" s="5">
        <v>9.851046299E9</v>
      </c>
      <c r="F501" s="5" t="s">
        <v>1075</v>
      </c>
      <c r="G501" s="5">
        <v>6152380.0</v>
      </c>
      <c r="H501" s="35">
        <v>26996.0</v>
      </c>
      <c r="I501" s="5" t="s">
        <v>156</v>
      </c>
      <c r="J501" s="5" t="s">
        <v>42</v>
      </c>
      <c r="K501" s="5" t="b">
        <v>0</v>
      </c>
      <c r="L501" s="5" t="b">
        <v>0</v>
      </c>
      <c r="N501" s="5">
        <v>7500.0</v>
      </c>
      <c r="O501" s="5">
        <v>0.0</v>
      </c>
      <c r="P501" s="5">
        <v>0.0</v>
      </c>
      <c r="R501" s="5" t="b">
        <v>0</v>
      </c>
      <c r="U501" s="5" t="s">
        <v>1507</v>
      </c>
      <c r="V501" s="5" t="s">
        <v>1508</v>
      </c>
      <c r="W501" s="5" t="s">
        <v>1508</v>
      </c>
      <c r="X501" s="5" t="s">
        <v>1509</v>
      </c>
      <c r="Z501" s="5">
        <v>5625.0</v>
      </c>
      <c r="AA501" s="5" t="s">
        <v>1556</v>
      </c>
      <c r="AB501" s="5">
        <v>1875.0</v>
      </c>
      <c r="AC501" s="5" t="s">
        <v>1510</v>
      </c>
      <c r="AE501" s="5">
        <v>2056.0</v>
      </c>
      <c r="AF501" s="36">
        <v>46079.28273922454</v>
      </c>
    </row>
    <row r="502" ht="22.5" hidden="1" customHeight="1">
      <c r="A502" s="5" t="s">
        <v>2151</v>
      </c>
      <c r="B502" s="5" t="s">
        <v>1506</v>
      </c>
      <c r="C502" s="5" t="s">
        <v>931</v>
      </c>
      <c r="D502" s="5" t="s">
        <v>366</v>
      </c>
      <c r="E502" s="25" t="s">
        <v>932</v>
      </c>
      <c r="F502" s="5" t="s">
        <v>933</v>
      </c>
      <c r="H502" s="35">
        <v>33362.0</v>
      </c>
      <c r="I502" s="5" t="s">
        <v>16</v>
      </c>
      <c r="J502" s="5" t="s">
        <v>42</v>
      </c>
      <c r="K502" s="5" t="b">
        <v>0</v>
      </c>
      <c r="L502" s="5" t="b">
        <v>0</v>
      </c>
      <c r="N502" s="5">
        <v>80.0</v>
      </c>
      <c r="O502" s="5">
        <v>0.0</v>
      </c>
      <c r="P502" s="5">
        <v>0.0</v>
      </c>
      <c r="R502" s="5" t="b">
        <v>0</v>
      </c>
      <c r="U502" s="5" t="s">
        <v>1507</v>
      </c>
      <c r="V502" s="5" t="s">
        <v>1508</v>
      </c>
      <c r="W502" s="5" t="s">
        <v>1508</v>
      </c>
      <c r="X502" s="5" t="s">
        <v>1509</v>
      </c>
      <c r="Z502" s="5">
        <v>80.0</v>
      </c>
      <c r="AB502" s="5">
        <v>0.0</v>
      </c>
      <c r="AC502" s="5" t="s">
        <v>1546</v>
      </c>
      <c r="AD502" s="5" t="s">
        <v>1551</v>
      </c>
      <c r="AE502" s="5">
        <v>2009.0</v>
      </c>
      <c r="AF502" s="36">
        <v>46079.22522576389</v>
      </c>
    </row>
    <row r="503" ht="22.5" hidden="1" customHeight="1">
      <c r="A503" s="5" t="s">
        <v>2152</v>
      </c>
      <c r="B503" s="5" t="s">
        <v>1506</v>
      </c>
      <c r="C503" s="5" t="s">
        <v>2153</v>
      </c>
      <c r="D503" s="5" t="s">
        <v>14</v>
      </c>
      <c r="E503" s="5">
        <v>9.851046299E9</v>
      </c>
      <c r="F503" s="5" t="s">
        <v>1075</v>
      </c>
      <c r="G503" s="5">
        <v>6152380.0</v>
      </c>
      <c r="H503" s="35">
        <v>26996.0</v>
      </c>
      <c r="I503" s="5" t="s">
        <v>156</v>
      </c>
      <c r="J503" s="5" t="s">
        <v>42</v>
      </c>
      <c r="K503" s="5" t="b">
        <v>0</v>
      </c>
      <c r="L503" s="5" t="b">
        <v>0</v>
      </c>
      <c r="N503" s="5">
        <v>7500.0</v>
      </c>
      <c r="O503" s="5">
        <v>0.0</v>
      </c>
      <c r="P503" s="5">
        <v>0.0</v>
      </c>
      <c r="R503" s="5" t="b">
        <v>0</v>
      </c>
      <c r="U503" s="5" t="s">
        <v>1507</v>
      </c>
      <c r="V503" s="5" t="s">
        <v>1508</v>
      </c>
      <c r="W503" s="5" t="s">
        <v>1508</v>
      </c>
      <c r="X503" s="5" t="s">
        <v>1509</v>
      </c>
      <c r="Z503" s="5">
        <v>7500.0</v>
      </c>
      <c r="AB503" s="5">
        <v>0.0</v>
      </c>
      <c r="AC503" s="5" t="s">
        <v>1510</v>
      </c>
      <c r="AD503" s="5" t="s">
        <v>1511</v>
      </c>
      <c r="AE503" s="5">
        <v>2035.0</v>
      </c>
      <c r="AF503" s="36">
        <v>46078.29015458333</v>
      </c>
    </row>
    <row r="504" ht="22.5" hidden="1" customHeight="1">
      <c r="A504" s="5" t="s">
        <v>2154</v>
      </c>
      <c r="B504" s="5" t="s">
        <v>1506</v>
      </c>
      <c r="C504" s="5" t="s">
        <v>1301</v>
      </c>
      <c r="D504" s="5" t="s">
        <v>904</v>
      </c>
      <c r="E504" s="5">
        <v>8.801912301814E12</v>
      </c>
      <c r="F504" s="5" t="s">
        <v>1302</v>
      </c>
      <c r="G504" s="5">
        <v>5828320.0</v>
      </c>
      <c r="H504" s="35">
        <v>33592.0</v>
      </c>
      <c r="I504" s="5" t="s">
        <v>156</v>
      </c>
      <c r="J504" s="5" t="s">
        <v>36</v>
      </c>
      <c r="K504" s="5" t="b">
        <v>0</v>
      </c>
      <c r="L504" s="5" t="b">
        <v>0</v>
      </c>
      <c r="N504" s="5">
        <v>150.0</v>
      </c>
      <c r="O504" s="5">
        <v>0.0</v>
      </c>
      <c r="P504" s="5">
        <v>0.0</v>
      </c>
      <c r="R504" s="5" t="b">
        <v>0</v>
      </c>
      <c r="U504" s="5" t="s">
        <v>1519</v>
      </c>
      <c r="V504" s="5" t="s">
        <v>1508</v>
      </c>
      <c r="W504" s="5" t="s">
        <v>1508</v>
      </c>
      <c r="X504" s="5" t="s">
        <v>1509</v>
      </c>
      <c r="Z504" s="5">
        <v>112.5</v>
      </c>
      <c r="AA504" s="5" t="s">
        <v>1649</v>
      </c>
      <c r="AB504" s="5">
        <v>37.5</v>
      </c>
      <c r="AC504" s="5" t="s">
        <v>1546</v>
      </c>
      <c r="AD504" s="5" t="s">
        <v>1558</v>
      </c>
      <c r="AE504" s="5">
        <v>1010.0</v>
      </c>
      <c r="AF504" s="36">
        <v>46078.27851375</v>
      </c>
    </row>
    <row r="505" ht="22.5" hidden="1" customHeight="1">
      <c r="A505" s="5" t="s">
        <v>2155</v>
      </c>
      <c r="B505" s="5" t="s">
        <v>1506</v>
      </c>
      <c r="C505" s="5" t="s">
        <v>903</v>
      </c>
      <c r="D505" s="5" t="s">
        <v>904</v>
      </c>
      <c r="E505" s="25" t="s">
        <v>905</v>
      </c>
      <c r="F505" s="5" t="s">
        <v>906</v>
      </c>
      <c r="G505" s="5">
        <v>5432954.0</v>
      </c>
      <c r="H505" s="35">
        <v>34746.0</v>
      </c>
      <c r="I505" s="5" t="s">
        <v>16</v>
      </c>
      <c r="J505" s="5" t="s">
        <v>42</v>
      </c>
      <c r="K505" s="5" t="b">
        <v>0</v>
      </c>
      <c r="L505" s="5" t="b">
        <v>0</v>
      </c>
      <c r="N505" s="5">
        <v>80.0</v>
      </c>
      <c r="O505" s="5">
        <v>0.0</v>
      </c>
      <c r="P505" s="5">
        <v>0.0</v>
      </c>
      <c r="R505" s="5" t="b">
        <v>0</v>
      </c>
      <c r="U505" s="5" t="s">
        <v>1507</v>
      </c>
      <c r="V505" s="5" t="s">
        <v>1508</v>
      </c>
      <c r="W505" s="5" t="s">
        <v>1508</v>
      </c>
      <c r="X505" s="5" t="s">
        <v>1509</v>
      </c>
      <c r="Z505" s="5">
        <v>60.0</v>
      </c>
      <c r="AA505" s="5" t="s">
        <v>1649</v>
      </c>
      <c r="AB505" s="5">
        <v>20.0</v>
      </c>
      <c r="AC505" s="5" t="s">
        <v>1546</v>
      </c>
      <c r="AD505" s="5" t="s">
        <v>1558</v>
      </c>
      <c r="AE505" s="5">
        <v>2012.0</v>
      </c>
      <c r="AF505" s="36">
        <v>46078.25789287037</v>
      </c>
    </row>
    <row r="506" ht="22.5" hidden="1" customHeight="1">
      <c r="A506" s="5" t="s">
        <v>2156</v>
      </c>
      <c r="B506" s="5" t="s">
        <v>1506</v>
      </c>
      <c r="C506" s="5" t="s">
        <v>2157</v>
      </c>
      <c r="D506" s="5" t="s">
        <v>14</v>
      </c>
      <c r="E506" s="5">
        <v>9.81619229E9</v>
      </c>
      <c r="F506" s="5" t="s">
        <v>470</v>
      </c>
      <c r="G506" s="5">
        <v>6947157.0</v>
      </c>
      <c r="H506" s="35">
        <v>35303.0</v>
      </c>
      <c r="I506" s="5" t="s">
        <v>16</v>
      </c>
      <c r="J506" s="5" t="s">
        <v>39</v>
      </c>
      <c r="K506" s="5" t="b">
        <v>0</v>
      </c>
      <c r="L506" s="5" t="b">
        <v>0</v>
      </c>
      <c r="N506" s="5">
        <v>3000.0</v>
      </c>
      <c r="O506" s="5">
        <v>0.0</v>
      </c>
      <c r="P506" s="5">
        <v>0.0</v>
      </c>
      <c r="R506" s="5" t="b">
        <v>0</v>
      </c>
      <c r="U506" s="5" t="s">
        <v>1507</v>
      </c>
      <c r="V506" s="5" t="s">
        <v>1508</v>
      </c>
      <c r="W506" s="5" t="s">
        <v>1548</v>
      </c>
      <c r="X506" s="5" t="s">
        <v>1509</v>
      </c>
      <c r="Z506" s="5">
        <v>3000.0</v>
      </c>
      <c r="AB506" s="5">
        <v>0.0</v>
      </c>
      <c r="AC506" s="5" t="s">
        <v>1510</v>
      </c>
      <c r="AE506" s="5">
        <v>3026.0</v>
      </c>
      <c r="AF506" s="36">
        <v>46076.599777696756</v>
      </c>
      <c r="AG506" s="5" t="s">
        <v>1549</v>
      </c>
    </row>
    <row r="507" ht="22.5" hidden="1" customHeight="1">
      <c r="A507" s="5" t="s">
        <v>2158</v>
      </c>
      <c r="B507" s="5" t="s">
        <v>1506</v>
      </c>
      <c r="C507" s="5" t="s">
        <v>1174</v>
      </c>
      <c r="D507" s="5" t="s">
        <v>14</v>
      </c>
      <c r="E507" s="5">
        <v>9.76234424E9</v>
      </c>
      <c r="F507" s="5" t="s">
        <v>1175</v>
      </c>
      <c r="G507" s="5">
        <v>4792544.0</v>
      </c>
      <c r="H507" s="35">
        <v>31658.0</v>
      </c>
      <c r="I507" s="5" t="s">
        <v>156</v>
      </c>
      <c r="J507" s="5" t="s">
        <v>42</v>
      </c>
      <c r="K507" s="5" t="b">
        <v>0</v>
      </c>
      <c r="L507" s="5" t="b">
        <v>0</v>
      </c>
      <c r="N507" s="5">
        <v>7500.0</v>
      </c>
      <c r="O507" s="5">
        <v>0.0</v>
      </c>
      <c r="P507" s="5">
        <v>0.0</v>
      </c>
      <c r="R507" s="5" t="b">
        <v>0</v>
      </c>
      <c r="U507" s="5" t="s">
        <v>1517</v>
      </c>
      <c r="V507" s="5" t="s">
        <v>1508</v>
      </c>
      <c r="W507" s="5" t="s">
        <v>1548</v>
      </c>
      <c r="X507" s="5" t="s">
        <v>1509</v>
      </c>
      <c r="Z507" s="5">
        <v>7500.0</v>
      </c>
      <c r="AB507" s="5">
        <v>0.0</v>
      </c>
      <c r="AC507" s="5" t="s">
        <v>1510</v>
      </c>
      <c r="AD507" s="5" t="s">
        <v>1511</v>
      </c>
      <c r="AE507" s="5">
        <v>2129.0</v>
      </c>
      <c r="AF507" s="36">
        <v>46076.398036736115</v>
      </c>
      <c r="AG507" s="5" t="s">
        <v>1549</v>
      </c>
    </row>
    <row r="508" ht="22.5" hidden="1" customHeight="1">
      <c r="A508" s="5" t="s">
        <v>2159</v>
      </c>
      <c r="B508" s="5" t="s">
        <v>1506</v>
      </c>
      <c r="C508" s="5" t="s">
        <v>1274</v>
      </c>
      <c r="D508" s="5" t="s">
        <v>14</v>
      </c>
      <c r="E508" s="25" t="s">
        <v>1275</v>
      </c>
      <c r="F508" s="5" t="s">
        <v>1276</v>
      </c>
      <c r="G508" s="5">
        <v>5380627.0</v>
      </c>
      <c r="H508" s="35">
        <v>33012.0</v>
      </c>
      <c r="I508" s="5" t="s">
        <v>156</v>
      </c>
      <c r="J508" s="5" t="s">
        <v>36</v>
      </c>
      <c r="K508" s="5" t="b">
        <v>0</v>
      </c>
      <c r="L508" s="5" t="b">
        <v>0</v>
      </c>
      <c r="N508" s="5">
        <v>12000.0</v>
      </c>
      <c r="O508" s="5">
        <v>0.0</v>
      </c>
      <c r="P508" s="5">
        <v>0.0</v>
      </c>
      <c r="R508" s="5" t="b">
        <v>0</v>
      </c>
      <c r="U508" s="5" t="s">
        <v>1519</v>
      </c>
      <c r="V508" s="5" t="s">
        <v>1508</v>
      </c>
      <c r="W508" s="5" t="s">
        <v>1548</v>
      </c>
      <c r="X508" s="5" t="s">
        <v>1509</v>
      </c>
      <c r="Z508" s="5">
        <v>9000.0</v>
      </c>
      <c r="AA508" s="5" t="s">
        <v>1556</v>
      </c>
      <c r="AB508" s="5">
        <v>3000.0</v>
      </c>
      <c r="AC508" s="5" t="s">
        <v>1510</v>
      </c>
      <c r="AE508" s="5">
        <v>1049.0</v>
      </c>
      <c r="AF508" s="36">
        <v>46075.603738564816</v>
      </c>
      <c r="AG508" s="5" t="s">
        <v>1549</v>
      </c>
    </row>
    <row r="509" ht="22.5" hidden="1" customHeight="1">
      <c r="A509" s="5" t="s">
        <v>2160</v>
      </c>
      <c r="B509" s="5" t="s">
        <v>1506</v>
      </c>
      <c r="C509" s="5" t="s">
        <v>2161</v>
      </c>
      <c r="D509" s="5" t="s">
        <v>938</v>
      </c>
      <c r="E509" s="5" t="s">
        <v>2162</v>
      </c>
      <c r="F509" s="5" t="s">
        <v>1358</v>
      </c>
      <c r="G509" s="5">
        <v>4577782.0</v>
      </c>
      <c r="H509" s="35">
        <v>27106.0</v>
      </c>
      <c r="I509" s="5" t="s">
        <v>156</v>
      </c>
      <c r="J509" s="5" t="s">
        <v>36</v>
      </c>
      <c r="K509" s="5" t="b">
        <v>0</v>
      </c>
      <c r="L509" s="5" t="b">
        <v>0</v>
      </c>
      <c r="N509" s="5">
        <v>12000.0</v>
      </c>
      <c r="O509" s="5">
        <v>0.0</v>
      </c>
      <c r="P509" s="5">
        <v>0.0</v>
      </c>
      <c r="R509" s="5" t="b">
        <v>0</v>
      </c>
      <c r="U509" s="5" t="s">
        <v>1519</v>
      </c>
      <c r="V509" s="5" t="s">
        <v>1508</v>
      </c>
      <c r="W509" s="5" t="s">
        <v>1548</v>
      </c>
      <c r="X509" s="5" t="s">
        <v>1509</v>
      </c>
      <c r="Z509" s="5">
        <v>12000.0</v>
      </c>
      <c r="AB509" s="5">
        <v>0.0</v>
      </c>
      <c r="AC509" s="5" t="s">
        <v>1510</v>
      </c>
      <c r="AD509" s="5" t="s">
        <v>1558</v>
      </c>
      <c r="AE509" s="5">
        <v>1015.0</v>
      </c>
      <c r="AF509" s="36">
        <v>46075.22820247685</v>
      </c>
      <c r="AG509" s="5" t="s">
        <v>1549</v>
      </c>
    </row>
    <row r="510" ht="22.5" hidden="1" customHeight="1">
      <c r="A510" s="5" t="s">
        <v>2163</v>
      </c>
      <c r="B510" s="5" t="s">
        <v>1506</v>
      </c>
      <c r="C510" s="5" t="s">
        <v>815</v>
      </c>
      <c r="D510" s="5" t="s">
        <v>14</v>
      </c>
      <c r="E510" s="25" t="s">
        <v>816</v>
      </c>
      <c r="F510" s="5" t="s">
        <v>817</v>
      </c>
      <c r="G510" s="5">
        <v>6190466.0</v>
      </c>
      <c r="H510" s="35">
        <v>32163.0</v>
      </c>
      <c r="I510" s="5" t="s">
        <v>156</v>
      </c>
      <c r="J510" s="5" t="s">
        <v>39</v>
      </c>
      <c r="K510" s="5" t="b">
        <v>0</v>
      </c>
      <c r="L510" s="5" t="b">
        <v>0</v>
      </c>
      <c r="N510" s="5">
        <v>3000.0</v>
      </c>
      <c r="O510" s="5">
        <v>0.0</v>
      </c>
      <c r="P510" s="5">
        <v>0.0</v>
      </c>
      <c r="R510" s="5" t="b">
        <v>0</v>
      </c>
      <c r="U510" s="5" t="s">
        <v>1514</v>
      </c>
      <c r="V510" s="5" t="s">
        <v>1508</v>
      </c>
      <c r="W510" s="5" t="s">
        <v>1508</v>
      </c>
      <c r="X510" s="5" t="s">
        <v>1509</v>
      </c>
      <c r="Z510" s="5">
        <v>2250.0</v>
      </c>
      <c r="AA510" s="5" t="s">
        <v>1979</v>
      </c>
      <c r="AB510" s="5">
        <v>750.0</v>
      </c>
      <c r="AC510" s="5" t="s">
        <v>1510</v>
      </c>
      <c r="AE510" s="5">
        <v>3025.0</v>
      </c>
      <c r="AF510" s="36">
        <v>46074.672066354164</v>
      </c>
    </row>
    <row r="511" ht="22.5" hidden="1" customHeight="1">
      <c r="A511" s="5" t="s">
        <v>2164</v>
      </c>
      <c r="B511" s="5" t="s">
        <v>1506</v>
      </c>
      <c r="C511" s="5" t="s">
        <v>818</v>
      </c>
      <c r="D511" s="5" t="s">
        <v>14</v>
      </c>
      <c r="E511" s="5">
        <v>9.849575565E9</v>
      </c>
      <c r="F511" s="5" t="s">
        <v>819</v>
      </c>
      <c r="H511" s="35">
        <v>33131.0</v>
      </c>
      <c r="I511" s="5" t="s">
        <v>156</v>
      </c>
      <c r="J511" s="5" t="s">
        <v>39</v>
      </c>
      <c r="K511" s="5" t="b">
        <v>0</v>
      </c>
      <c r="L511" s="5" t="b">
        <v>0</v>
      </c>
      <c r="N511" s="5">
        <v>3000.0</v>
      </c>
      <c r="O511" s="5">
        <v>0.0</v>
      </c>
      <c r="P511" s="5">
        <v>0.0</v>
      </c>
      <c r="R511" s="5" t="b">
        <v>0</v>
      </c>
      <c r="U511" s="5" t="s">
        <v>1517</v>
      </c>
      <c r="V511" s="5" t="s">
        <v>1508</v>
      </c>
      <c r="W511" s="5" t="s">
        <v>1548</v>
      </c>
      <c r="X511" s="5" t="s">
        <v>1509</v>
      </c>
      <c r="Z511" s="5">
        <v>0.0</v>
      </c>
      <c r="AA511" s="5" t="s">
        <v>779</v>
      </c>
      <c r="AB511" s="5">
        <v>3000.0</v>
      </c>
      <c r="AC511" s="5" t="s">
        <v>1510</v>
      </c>
      <c r="AD511" s="5" t="s">
        <v>1551</v>
      </c>
      <c r="AE511" s="5">
        <v>3002.0</v>
      </c>
      <c r="AF511" s="36">
        <v>46074.363662777774</v>
      </c>
      <c r="AG511" s="5" t="s">
        <v>1549</v>
      </c>
    </row>
    <row r="512" ht="22.5" hidden="1" customHeight="1">
      <c r="A512" s="5" t="s">
        <v>2165</v>
      </c>
      <c r="B512" s="5" t="s">
        <v>1506</v>
      </c>
      <c r="C512" s="5" t="s">
        <v>820</v>
      </c>
      <c r="D512" s="5" t="s">
        <v>14</v>
      </c>
      <c r="E512" s="5">
        <v>9.846552609E9</v>
      </c>
      <c r="F512" s="5" t="s">
        <v>821</v>
      </c>
      <c r="G512" s="5">
        <v>6937000.0</v>
      </c>
      <c r="H512" s="35">
        <v>34816.0</v>
      </c>
      <c r="I512" s="5" t="s">
        <v>156</v>
      </c>
      <c r="J512" s="5" t="s">
        <v>39</v>
      </c>
      <c r="K512" s="5" t="b">
        <v>0</v>
      </c>
      <c r="L512" s="5" t="b">
        <v>0</v>
      </c>
      <c r="N512" s="5">
        <v>3000.0</v>
      </c>
      <c r="O512" s="5">
        <v>0.0</v>
      </c>
      <c r="P512" s="5">
        <v>0.0</v>
      </c>
      <c r="R512" s="5" t="b">
        <v>0</v>
      </c>
      <c r="U512" s="5" t="s">
        <v>1517</v>
      </c>
      <c r="V512" s="5" t="s">
        <v>1508</v>
      </c>
      <c r="W512" s="5" t="s">
        <v>1508</v>
      </c>
      <c r="X512" s="5" t="s">
        <v>1509</v>
      </c>
      <c r="Z512" s="5">
        <v>3000.0</v>
      </c>
      <c r="AB512" s="5">
        <v>0.0</v>
      </c>
      <c r="AC512" s="5" t="s">
        <v>1510</v>
      </c>
      <c r="AE512" s="5">
        <v>3024.0</v>
      </c>
      <c r="AF512" s="36">
        <v>46074.302944849536</v>
      </c>
    </row>
    <row r="513" ht="22.5" hidden="1" customHeight="1">
      <c r="A513" s="5" t="s">
        <v>2166</v>
      </c>
      <c r="B513" s="5" t="s">
        <v>1506</v>
      </c>
      <c r="C513" s="5" t="s">
        <v>822</v>
      </c>
      <c r="D513" s="5" t="s">
        <v>14</v>
      </c>
      <c r="E513" s="25" t="s">
        <v>823</v>
      </c>
      <c r="F513" s="5" t="s">
        <v>824</v>
      </c>
      <c r="H513" s="35">
        <v>31520.0</v>
      </c>
      <c r="I513" s="5" t="s">
        <v>156</v>
      </c>
      <c r="J513" s="5" t="s">
        <v>39</v>
      </c>
      <c r="K513" s="5" t="b">
        <v>0</v>
      </c>
      <c r="L513" s="5" t="b">
        <v>0</v>
      </c>
      <c r="N513" s="5">
        <v>3000.0</v>
      </c>
      <c r="O513" s="5">
        <v>0.0</v>
      </c>
      <c r="P513" s="5">
        <v>0.0</v>
      </c>
      <c r="R513" s="5" t="b">
        <v>0</v>
      </c>
      <c r="U513" s="5" t="s">
        <v>1517</v>
      </c>
      <c r="V513" s="5" t="s">
        <v>1508</v>
      </c>
      <c r="W513" s="5" t="s">
        <v>1508</v>
      </c>
      <c r="X513" s="5" t="s">
        <v>1509</v>
      </c>
      <c r="Z513" s="5">
        <v>2250.0</v>
      </c>
      <c r="AA513" s="5" t="s">
        <v>1979</v>
      </c>
      <c r="AB513" s="5">
        <v>750.0</v>
      </c>
      <c r="AC513" s="5" t="s">
        <v>1546</v>
      </c>
      <c r="AD513" s="5" t="s">
        <v>1511</v>
      </c>
      <c r="AE513" s="5">
        <v>3225.0</v>
      </c>
      <c r="AF513" s="36">
        <v>46074.276678877315</v>
      </c>
    </row>
    <row r="514" ht="22.5" hidden="1" customHeight="1">
      <c r="A514" s="5" t="s">
        <v>2167</v>
      </c>
      <c r="B514" s="5" t="s">
        <v>1506</v>
      </c>
      <c r="C514" s="5" t="s">
        <v>825</v>
      </c>
      <c r="D514" s="5" t="s">
        <v>14</v>
      </c>
      <c r="E514" s="5">
        <v>9.745446878E9</v>
      </c>
      <c r="F514" s="5" t="s">
        <v>826</v>
      </c>
      <c r="G514" s="5">
        <v>6939090.0</v>
      </c>
      <c r="H514" s="35">
        <v>36745.0</v>
      </c>
      <c r="I514" s="5" t="s">
        <v>156</v>
      </c>
      <c r="J514" s="5" t="s">
        <v>39</v>
      </c>
      <c r="K514" s="5" t="b">
        <v>0</v>
      </c>
      <c r="L514" s="5" t="b">
        <v>0</v>
      </c>
      <c r="N514" s="5">
        <v>3000.0</v>
      </c>
      <c r="O514" s="5">
        <v>0.0</v>
      </c>
      <c r="P514" s="5">
        <v>0.0</v>
      </c>
      <c r="R514" s="5" t="b">
        <v>0</v>
      </c>
      <c r="U514" s="5" t="s">
        <v>1578</v>
      </c>
      <c r="V514" s="5" t="s">
        <v>1508</v>
      </c>
      <c r="W514" s="5" t="s">
        <v>1548</v>
      </c>
      <c r="X514" s="5" t="s">
        <v>1509</v>
      </c>
      <c r="Z514" s="5">
        <v>3000.0</v>
      </c>
      <c r="AB514" s="5">
        <v>0.0</v>
      </c>
      <c r="AC514" s="5" t="s">
        <v>1510</v>
      </c>
      <c r="AE514" s="5">
        <v>3023.0</v>
      </c>
      <c r="AF514" s="36">
        <v>46074.24954199074</v>
      </c>
      <c r="AG514" s="5" t="s">
        <v>1549</v>
      </c>
    </row>
    <row r="515" ht="22.5" hidden="1" customHeight="1">
      <c r="A515" s="5" t="s">
        <v>2168</v>
      </c>
      <c r="B515" s="5" t="s">
        <v>1506</v>
      </c>
      <c r="C515" s="5" t="s">
        <v>1277</v>
      </c>
      <c r="D515" s="5" t="s">
        <v>14</v>
      </c>
      <c r="E515" s="5">
        <v>9.848651712E9</v>
      </c>
      <c r="F515" s="5" t="s">
        <v>1006</v>
      </c>
      <c r="G515" s="5">
        <v>5291694.0</v>
      </c>
      <c r="H515" s="35">
        <v>36007.0</v>
      </c>
      <c r="I515" s="5" t="s">
        <v>156</v>
      </c>
      <c r="J515" s="5" t="s">
        <v>36</v>
      </c>
      <c r="K515" s="5" t="b">
        <v>0</v>
      </c>
      <c r="L515" s="5" t="b">
        <v>0</v>
      </c>
      <c r="N515" s="5">
        <v>12000.0</v>
      </c>
      <c r="O515" s="5">
        <v>0.0</v>
      </c>
      <c r="P515" s="5">
        <v>0.0</v>
      </c>
      <c r="R515" s="5" t="b">
        <v>0</v>
      </c>
      <c r="U515" s="5" t="s">
        <v>1519</v>
      </c>
      <c r="V515" s="5" t="s">
        <v>1508</v>
      </c>
      <c r="W515" s="5" t="s">
        <v>1548</v>
      </c>
      <c r="X515" s="5" t="s">
        <v>1509</v>
      </c>
      <c r="Z515" s="5">
        <v>0.0</v>
      </c>
      <c r="AA515" s="5" t="s">
        <v>779</v>
      </c>
      <c r="AB515" s="5">
        <v>12000.0</v>
      </c>
      <c r="AC515" s="5" t="s">
        <v>1510</v>
      </c>
      <c r="AD515" s="5" t="s">
        <v>1551</v>
      </c>
      <c r="AE515" s="5">
        <v>1005.0</v>
      </c>
      <c r="AF515" s="36">
        <v>46073.49537186343</v>
      </c>
      <c r="AG515" s="5" t="s">
        <v>1549</v>
      </c>
    </row>
    <row r="516" ht="22.5" hidden="1" customHeight="1">
      <c r="A516" s="5" t="s">
        <v>2169</v>
      </c>
      <c r="B516" s="5" t="s">
        <v>1506</v>
      </c>
      <c r="C516" s="5" t="s">
        <v>827</v>
      </c>
      <c r="D516" s="5" t="s">
        <v>14</v>
      </c>
      <c r="E516" s="5">
        <v>9.867423831E9</v>
      </c>
      <c r="F516" s="5" t="s">
        <v>828</v>
      </c>
      <c r="H516" s="35">
        <v>37036.0</v>
      </c>
      <c r="I516" s="5" t="s">
        <v>156</v>
      </c>
      <c r="J516" s="5" t="s">
        <v>39</v>
      </c>
      <c r="K516" s="5" t="b">
        <v>0</v>
      </c>
      <c r="L516" s="5" t="b">
        <v>0</v>
      </c>
      <c r="N516" s="5">
        <v>3000.0</v>
      </c>
      <c r="O516" s="5">
        <v>0.0</v>
      </c>
      <c r="P516" s="5">
        <v>0.0</v>
      </c>
      <c r="R516" s="5" t="b">
        <v>0</v>
      </c>
      <c r="U516" s="5" t="s">
        <v>1514</v>
      </c>
      <c r="V516" s="5" t="s">
        <v>1508</v>
      </c>
      <c r="W516" s="5" t="s">
        <v>1548</v>
      </c>
      <c r="X516" s="5" t="s">
        <v>1509</v>
      </c>
      <c r="Z516" s="5">
        <v>3000.0</v>
      </c>
      <c r="AB516" s="5">
        <v>0.0</v>
      </c>
      <c r="AC516" s="5" t="s">
        <v>1510</v>
      </c>
      <c r="AE516" s="5">
        <v>3022.0</v>
      </c>
      <c r="AF516" s="36">
        <v>46072.69316042824</v>
      </c>
      <c r="AG516" s="5" t="s">
        <v>1549</v>
      </c>
    </row>
    <row r="517" ht="22.5" hidden="1" customHeight="1">
      <c r="A517" s="5" t="s">
        <v>2170</v>
      </c>
      <c r="B517" s="5" t="s">
        <v>1506</v>
      </c>
      <c r="C517" s="5" t="s">
        <v>2171</v>
      </c>
      <c r="D517" s="5" t="s">
        <v>147</v>
      </c>
      <c r="E517" s="5">
        <v>9.810237283E9</v>
      </c>
      <c r="F517" s="5" t="s">
        <v>2172</v>
      </c>
      <c r="H517" s="35">
        <v>25368.0</v>
      </c>
      <c r="I517" s="5" t="s">
        <v>16</v>
      </c>
      <c r="J517" s="5" t="s">
        <v>46</v>
      </c>
      <c r="K517" s="5" t="b">
        <v>0</v>
      </c>
      <c r="L517" s="5" t="b">
        <v>0</v>
      </c>
      <c r="N517" s="5">
        <v>120.0</v>
      </c>
      <c r="O517" s="5">
        <v>0.0</v>
      </c>
      <c r="P517" s="5">
        <v>0.0</v>
      </c>
      <c r="R517" s="5" t="b">
        <v>0</v>
      </c>
      <c r="U517" s="5" t="s">
        <v>1519</v>
      </c>
      <c r="V517" s="5" t="s">
        <v>1508</v>
      </c>
      <c r="W517" s="5" t="s">
        <v>1508</v>
      </c>
      <c r="X517" s="5" t="s">
        <v>1509</v>
      </c>
      <c r="Z517" s="5">
        <v>120.0</v>
      </c>
      <c r="AA517" s="5" t="s">
        <v>2173</v>
      </c>
      <c r="AB517" s="5">
        <v>0.0</v>
      </c>
      <c r="AC517" s="5" t="s">
        <v>1546</v>
      </c>
      <c r="AD517" s="5" t="s">
        <v>1558</v>
      </c>
      <c r="AE517" s="5">
        <v>1506.0</v>
      </c>
      <c r="AF517" s="36">
        <v>46072.33629175926</v>
      </c>
      <c r="AG517" s="5" t="s">
        <v>2174</v>
      </c>
    </row>
    <row r="518" ht="22.5" hidden="1" customHeight="1">
      <c r="A518" s="5" t="s">
        <v>2175</v>
      </c>
      <c r="B518" s="5" t="s">
        <v>1506</v>
      </c>
      <c r="C518" s="5" t="s">
        <v>1078</v>
      </c>
      <c r="D518" s="5" t="s">
        <v>14</v>
      </c>
      <c r="E518" s="5">
        <v>9.828761674E9</v>
      </c>
      <c r="F518" s="5" t="s">
        <v>1079</v>
      </c>
      <c r="G518" s="5" t="s">
        <v>1078</v>
      </c>
      <c r="H518" s="35">
        <v>32782.0</v>
      </c>
      <c r="I518" s="5" t="s">
        <v>156</v>
      </c>
      <c r="J518" s="5" t="s">
        <v>42</v>
      </c>
      <c r="K518" s="5" t="b">
        <v>0</v>
      </c>
      <c r="L518" s="5" t="b">
        <v>0</v>
      </c>
      <c r="N518" s="5">
        <v>7500.0</v>
      </c>
      <c r="O518" s="5">
        <v>0.0</v>
      </c>
      <c r="P518" s="5">
        <v>0.0</v>
      </c>
      <c r="R518" s="5" t="b">
        <v>0</v>
      </c>
      <c r="U518" s="5" t="s">
        <v>1519</v>
      </c>
      <c r="V518" s="5" t="s">
        <v>1508</v>
      </c>
      <c r="W518" s="5" t="s">
        <v>1548</v>
      </c>
      <c r="X518" s="5" t="s">
        <v>1509</v>
      </c>
      <c r="Z518" s="5">
        <v>1.0</v>
      </c>
      <c r="AA518" s="5" t="s">
        <v>779</v>
      </c>
      <c r="AB518" s="5">
        <v>7499.0</v>
      </c>
      <c r="AC518" s="5" t="s">
        <v>1510</v>
      </c>
      <c r="AD518" s="5" t="s">
        <v>1551</v>
      </c>
      <c r="AE518" s="5">
        <v>2006.0</v>
      </c>
      <c r="AF518" s="36">
        <v>46072.187196122686</v>
      </c>
      <c r="AG518" s="5" t="s">
        <v>1549</v>
      </c>
    </row>
    <row r="519" ht="22.5" hidden="1" customHeight="1">
      <c r="A519" s="5" t="s">
        <v>2176</v>
      </c>
      <c r="B519" s="5" t="s">
        <v>1506</v>
      </c>
      <c r="C519" s="5" t="s">
        <v>1431</v>
      </c>
      <c r="D519" s="5" t="s">
        <v>14</v>
      </c>
      <c r="E519" s="5">
        <v>9.845387766E9</v>
      </c>
      <c r="F519" s="5" t="s">
        <v>1432</v>
      </c>
      <c r="G519" s="5">
        <v>4807917.0</v>
      </c>
      <c r="H519" s="35">
        <v>35169.0</v>
      </c>
      <c r="I519" s="5" t="s">
        <v>156</v>
      </c>
      <c r="J519" s="5" t="s">
        <v>46</v>
      </c>
      <c r="K519" s="5" t="b">
        <v>0</v>
      </c>
      <c r="L519" s="5" t="b">
        <v>0</v>
      </c>
      <c r="N519" s="5">
        <v>9000.0</v>
      </c>
      <c r="O519" s="5">
        <v>0.0</v>
      </c>
      <c r="P519" s="5">
        <v>0.0</v>
      </c>
      <c r="R519" s="5" t="b">
        <v>0</v>
      </c>
      <c r="U519" s="5" t="s">
        <v>1519</v>
      </c>
      <c r="V519" s="5" t="s">
        <v>1508</v>
      </c>
      <c r="W519" s="5" t="s">
        <v>1548</v>
      </c>
      <c r="X519" s="5" t="s">
        <v>1509</v>
      </c>
      <c r="Z519" s="5">
        <v>1.0</v>
      </c>
      <c r="AA519" s="5" t="s">
        <v>779</v>
      </c>
      <c r="AB519" s="5">
        <v>8999.0</v>
      </c>
      <c r="AC519" s="5" t="s">
        <v>1546</v>
      </c>
      <c r="AD519" s="5" t="s">
        <v>1551</v>
      </c>
      <c r="AE519" s="5">
        <v>1502.0</v>
      </c>
      <c r="AF519" s="36">
        <v>46071.96321829861</v>
      </c>
      <c r="AG519" s="5" t="s">
        <v>1549</v>
      </c>
    </row>
    <row r="520" ht="22.5" hidden="1" customHeight="1">
      <c r="A520" s="5" t="s">
        <v>2177</v>
      </c>
      <c r="B520" s="5" t="s">
        <v>1506</v>
      </c>
      <c r="C520" s="5" t="s">
        <v>901</v>
      </c>
      <c r="D520" s="5" t="s">
        <v>14</v>
      </c>
      <c r="E520" s="5">
        <v>9.803034442E9</v>
      </c>
      <c r="F520" s="5" t="s">
        <v>902</v>
      </c>
      <c r="H520" s="35">
        <v>37752.0</v>
      </c>
      <c r="I520" s="5" t="s">
        <v>16</v>
      </c>
      <c r="J520" s="5" t="s">
        <v>42</v>
      </c>
      <c r="K520" s="5" t="b">
        <v>0</v>
      </c>
      <c r="L520" s="5" t="b">
        <v>0</v>
      </c>
      <c r="N520" s="5">
        <v>7500.0</v>
      </c>
      <c r="O520" s="5">
        <v>0.0</v>
      </c>
      <c r="P520" s="5">
        <v>0.0</v>
      </c>
      <c r="R520" s="5" t="b">
        <v>0</v>
      </c>
      <c r="U520" s="5" t="s">
        <v>1519</v>
      </c>
      <c r="V520" s="5" t="s">
        <v>1508</v>
      </c>
      <c r="W520" s="5" t="s">
        <v>1508</v>
      </c>
      <c r="X520" s="5" t="s">
        <v>1509</v>
      </c>
      <c r="Z520" s="5">
        <v>1.0</v>
      </c>
      <c r="AA520" s="5" t="s">
        <v>779</v>
      </c>
      <c r="AB520" s="5">
        <v>7499.0</v>
      </c>
      <c r="AC520" s="5" t="s">
        <v>1510</v>
      </c>
      <c r="AD520" s="5" t="s">
        <v>1551</v>
      </c>
      <c r="AE520" s="5">
        <v>2007.0</v>
      </c>
      <c r="AF520" s="36">
        <v>46071.670915648145</v>
      </c>
    </row>
    <row r="521" ht="22.5" hidden="1" customHeight="1">
      <c r="A521" s="5" t="s">
        <v>2178</v>
      </c>
      <c r="B521" s="5" t="s">
        <v>1506</v>
      </c>
      <c r="C521" s="5" t="s">
        <v>2179</v>
      </c>
      <c r="D521" s="5" t="s">
        <v>380</v>
      </c>
      <c r="E521" s="25" t="s">
        <v>502</v>
      </c>
      <c r="F521" s="5" t="s">
        <v>503</v>
      </c>
      <c r="G521" s="5">
        <v>6420154.0</v>
      </c>
      <c r="H521" s="35">
        <v>31712.0</v>
      </c>
      <c r="I521" s="5" t="s">
        <v>16</v>
      </c>
      <c r="J521" s="5" t="s">
        <v>39</v>
      </c>
      <c r="K521" s="5" t="b">
        <v>0</v>
      </c>
      <c r="L521" s="5" t="b">
        <v>0</v>
      </c>
      <c r="N521" s="5">
        <v>25.0</v>
      </c>
      <c r="O521" s="5">
        <v>0.0</v>
      </c>
      <c r="P521" s="5">
        <v>0.0</v>
      </c>
      <c r="R521" s="5" t="b">
        <v>0</v>
      </c>
      <c r="U521" s="5" t="s">
        <v>1507</v>
      </c>
      <c r="V521" s="5" t="s">
        <v>1508</v>
      </c>
      <c r="W521" s="5" t="s">
        <v>1508</v>
      </c>
      <c r="X521" s="5" t="s">
        <v>1509</v>
      </c>
      <c r="Z521" s="5">
        <v>25.0</v>
      </c>
      <c r="AB521" s="5">
        <v>0.0</v>
      </c>
      <c r="AC521" s="5" t="s">
        <v>1546</v>
      </c>
      <c r="AD521" s="5" t="s">
        <v>1558</v>
      </c>
      <c r="AE521" s="5">
        <v>3003.0</v>
      </c>
      <c r="AF521" s="36">
        <v>46070.385893819446</v>
      </c>
    </row>
    <row r="522" ht="22.5" hidden="1" customHeight="1">
      <c r="A522" s="5" t="s">
        <v>2180</v>
      </c>
      <c r="B522" s="5" t="s">
        <v>1506</v>
      </c>
      <c r="C522" s="5" t="s">
        <v>1433</v>
      </c>
      <c r="D522" s="5" t="s">
        <v>14</v>
      </c>
      <c r="E522" s="25" t="s">
        <v>1434</v>
      </c>
      <c r="F522" s="5" t="s">
        <v>1435</v>
      </c>
      <c r="G522" s="5">
        <v>6293643.0</v>
      </c>
      <c r="H522" s="35">
        <v>29249.0</v>
      </c>
      <c r="I522" s="5" t="s">
        <v>156</v>
      </c>
      <c r="J522" s="5" t="s">
        <v>46</v>
      </c>
      <c r="K522" s="5" t="b">
        <v>0</v>
      </c>
      <c r="L522" s="5" t="b">
        <v>0</v>
      </c>
      <c r="N522" s="5">
        <v>9000.0</v>
      </c>
      <c r="O522" s="5">
        <v>0.0</v>
      </c>
      <c r="P522" s="5">
        <v>0.0</v>
      </c>
      <c r="R522" s="5" t="b">
        <v>0</v>
      </c>
      <c r="U522" s="5" t="s">
        <v>1514</v>
      </c>
      <c r="V522" s="5" t="s">
        <v>1508</v>
      </c>
      <c r="W522" s="5" t="s">
        <v>1508</v>
      </c>
      <c r="X522" s="5" t="s">
        <v>1509</v>
      </c>
      <c r="Z522" s="5">
        <v>9000.0</v>
      </c>
      <c r="AB522" s="5">
        <v>0.0</v>
      </c>
      <c r="AC522" s="5" t="s">
        <v>1546</v>
      </c>
      <c r="AD522" s="5" t="s">
        <v>1551</v>
      </c>
      <c r="AE522" s="5">
        <v>1503.0</v>
      </c>
      <c r="AF522" s="36">
        <v>46070.21176394676</v>
      </c>
    </row>
    <row r="523" ht="22.5" hidden="1" customHeight="1">
      <c r="A523" s="5" t="s">
        <v>2181</v>
      </c>
      <c r="B523" s="5" t="s">
        <v>1506</v>
      </c>
      <c r="C523" s="5" t="s">
        <v>1133</v>
      </c>
      <c r="D523" s="5" t="s">
        <v>366</v>
      </c>
      <c r="E523" s="25" t="s">
        <v>1134</v>
      </c>
      <c r="F523" s="5" t="s">
        <v>1135</v>
      </c>
      <c r="H523" s="35">
        <v>30467.0</v>
      </c>
      <c r="I523" s="5" t="s">
        <v>156</v>
      </c>
      <c r="J523" s="5" t="s">
        <v>42</v>
      </c>
      <c r="K523" s="5" t="b">
        <v>0</v>
      </c>
      <c r="L523" s="5" t="b">
        <v>0</v>
      </c>
      <c r="N523" s="5">
        <v>80.0</v>
      </c>
      <c r="O523" s="5">
        <v>0.0</v>
      </c>
      <c r="P523" s="5">
        <v>0.0</v>
      </c>
      <c r="R523" s="5" t="b">
        <v>0</v>
      </c>
      <c r="U523" s="5" t="s">
        <v>1517</v>
      </c>
      <c r="V523" s="5" t="s">
        <v>1508</v>
      </c>
      <c r="W523" s="5" t="s">
        <v>1548</v>
      </c>
      <c r="X523" s="5" t="s">
        <v>1509</v>
      </c>
      <c r="Z523" s="5">
        <v>80.0</v>
      </c>
      <c r="AB523" s="5">
        <v>0.0</v>
      </c>
      <c r="AC523" s="5" t="s">
        <v>1546</v>
      </c>
      <c r="AD523" s="5" t="s">
        <v>1558</v>
      </c>
      <c r="AE523" s="5">
        <v>2029.0</v>
      </c>
      <c r="AF523" s="36">
        <v>46069.556088136575</v>
      </c>
      <c r="AG523" s="5" t="s">
        <v>1549</v>
      </c>
    </row>
    <row r="524" ht="22.5" hidden="1" customHeight="1">
      <c r="A524" s="5" t="s">
        <v>2182</v>
      </c>
      <c r="B524" s="5" t="s">
        <v>1506</v>
      </c>
      <c r="C524" s="5" t="s">
        <v>934</v>
      </c>
      <c r="D524" s="5" t="s">
        <v>366</v>
      </c>
      <c r="E524" s="25" t="s">
        <v>935</v>
      </c>
      <c r="F524" s="5" t="s">
        <v>936</v>
      </c>
      <c r="H524" s="35">
        <v>28900.0</v>
      </c>
      <c r="I524" s="5" t="s">
        <v>16</v>
      </c>
      <c r="J524" s="5" t="s">
        <v>42</v>
      </c>
      <c r="K524" s="5" t="b">
        <v>0</v>
      </c>
      <c r="L524" s="5" t="b">
        <v>0</v>
      </c>
      <c r="N524" s="5">
        <v>80.0</v>
      </c>
      <c r="O524" s="5">
        <v>0.0</v>
      </c>
      <c r="P524" s="5">
        <v>0.0</v>
      </c>
      <c r="R524" s="5" t="b">
        <v>0</v>
      </c>
      <c r="U524" s="5" t="s">
        <v>1517</v>
      </c>
      <c r="V524" s="5" t="s">
        <v>1508</v>
      </c>
      <c r="W524" s="5" t="s">
        <v>1548</v>
      </c>
      <c r="X524" s="5" t="s">
        <v>1509</v>
      </c>
      <c r="Z524" s="5">
        <v>80.0</v>
      </c>
      <c r="AB524" s="5">
        <v>0.0</v>
      </c>
      <c r="AC524" s="5" t="s">
        <v>1546</v>
      </c>
      <c r="AD524" s="5" t="s">
        <v>1551</v>
      </c>
      <c r="AE524" s="5">
        <v>2004.0</v>
      </c>
      <c r="AF524" s="36">
        <v>46069.55078087963</v>
      </c>
      <c r="AG524" s="5" t="s">
        <v>1549</v>
      </c>
    </row>
    <row r="525" ht="22.5" hidden="1" customHeight="1">
      <c r="A525" s="5" t="s">
        <v>2183</v>
      </c>
      <c r="B525" s="5" t="s">
        <v>1506</v>
      </c>
      <c r="C525" s="5" t="s">
        <v>1457</v>
      </c>
      <c r="D525" s="5" t="s">
        <v>1364</v>
      </c>
      <c r="E525" s="5">
        <v>9.171861358E9</v>
      </c>
      <c r="F525" s="5" t="s">
        <v>1459</v>
      </c>
      <c r="G525" s="5">
        <v>5140540.0</v>
      </c>
      <c r="H525" s="35">
        <v>33127.0</v>
      </c>
      <c r="I525" s="5" t="s">
        <v>156</v>
      </c>
      <c r="J525" s="5" t="s">
        <v>46</v>
      </c>
      <c r="K525" s="5" t="b">
        <v>0</v>
      </c>
      <c r="L525" s="5" t="b">
        <v>0</v>
      </c>
      <c r="N525" s="5">
        <v>120.0</v>
      </c>
      <c r="O525" s="5">
        <v>0.0</v>
      </c>
      <c r="P525" s="5">
        <v>0.0</v>
      </c>
      <c r="R525" s="5" t="b">
        <v>0</v>
      </c>
      <c r="U525" s="5" t="s">
        <v>1519</v>
      </c>
      <c r="V525" s="5" t="s">
        <v>1508</v>
      </c>
      <c r="W525" s="5" t="s">
        <v>1508</v>
      </c>
      <c r="X525" s="5" t="s">
        <v>1509</v>
      </c>
      <c r="Z525" s="5">
        <v>120.0</v>
      </c>
      <c r="AB525" s="5">
        <v>0.0</v>
      </c>
      <c r="AC525" s="5" t="s">
        <v>1546</v>
      </c>
      <c r="AD525" s="5" t="s">
        <v>1558</v>
      </c>
      <c r="AE525" s="5">
        <v>1507.0</v>
      </c>
      <c r="AF525" s="36">
        <v>46069.43519228009</v>
      </c>
    </row>
    <row r="526" ht="22.5" hidden="1" customHeight="1">
      <c r="A526" s="5" t="s">
        <v>2184</v>
      </c>
      <c r="B526" s="5" t="s">
        <v>1506</v>
      </c>
      <c r="C526" s="5" t="s">
        <v>1279</v>
      </c>
      <c r="D526" s="5" t="s">
        <v>14</v>
      </c>
      <c r="E526" s="25" t="s">
        <v>2185</v>
      </c>
      <c r="F526" s="5" t="s">
        <v>1280</v>
      </c>
      <c r="G526" s="5">
        <v>6345205.0</v>
      </c>
      <c r="H526" s="35">
        <v>34332.0</v>
      </c>
      <c r="I526" s="5" t="s">
        <v>156</v>
      </c>
      <c r="J526" s="5" t="s">
        <v>36</v>
      </c>
      <c r="K526" s="5" t="b">
        <v>0</v>
      </c>
      <c r="L526" s="5" t="b">
        <v>0</v>
      </c>
      <c r="N526" s="5">
        <v>12000.0</v>
      </c>
      <c r="O526" s="5">
        <v>0.0</v>
      </c>
      <c r="P526" s="5">
        <v>0.0</v>
      </c>
      <c r="R526" s="5" t="b">
        <v>0</v>
      </c>
      <c r="U526" s="5" t="s">
        <v>1519</v>
      </c>
      <c r="V526" s="5" t="s">
        <v>1508</v>
      </c>
      <c r="W526" s="5" t="s">
        <v>1508</v>
      </c>
      <c r="X526" s="5" t="s">
        <v>1509</v>
      </c>
      <c r="Z526" s="5">
        <v>12000.0</v>
      </c>
      <c r="AB526" s="5">
        <v>0.0</v>
      </c>
      <c r="AC526" s="5" t="s">
        <v>1510</v>
      </c>
      <c r="AD526" s="5" t="s">
        <v>1558</v>
      </c>
      <c r="AE526" s="5">
        <v>1079.0</v>
      </c>
      <c r="AF526" s="36">
        <v>46068.53796230324</v>
      </c>
    </row>
    <row r="527" ht="22.5" hidden="1" customHeight="1">
      <c r="A527" s="5" t="s">
        <v>2186</v>
      </c>
      <c r="B527" s="5" t="s">
        <v>1506</v>
      </c>
      <c r="C527" s="5" t="s">
        <v>1080</v>
      </c>
      <c r="D527" s="5" t="s">
        <v>14</v>
      </c>
      <c r="E527" s="5">
        <v>9.822929026E9</v>
      </c>
      <c r="F527" s="5" t="s">
        <v>1081</v>
      </c>
      <c r="G527" s="5">
        <v>4903730.0</v>
      </c>
      <c r="H527" s="35">
        <v>37672.0</v>
      </c>
      <c r="I527" s="5" t="s">
        <v>156</v>
      </c>
      <c r="J527" s="5" t="s">
        <v>42</v>
      </c>
      <c r="K527" s="5" t="b">
        <v>0</v>
      </c>
      <c r="L527" s="5" t="b">
        <v>0</v>
      </c>
      <c r="N527" s="5">
        <v>7500.0</v>
      </c>
      <c r="O527" s="5">
        <v>0.0</v>
      </c>
      <c r="P527" s="5">
        <v>0.0</v>
      </c>
      <c r="R527" s="5" t="b">
        <v>0</v>
      </c>
      <c r="U527" s="5" t="s">
        <v>1519</v>
      </c>
      <c r="V527" s="5" t="s">
        <v>1508</v>
      </c>
      <c r="W527" s="5" t="s">
        <v>1548</v>
      </c>
      <c r="X527" s="5" t="s">
        <v>1509</v>
      </c>
      <c r="Z527" s="5">
        <v>1.0</v>
      </c>
      <c r="AA527" s="5" t="s">
        <v>779</v>
      </c>
      <c r="AB527" s="5">
        <v>7499.0</v>
      </c>
      <c r="AC527" s="5" t="s">
        <v>1546</v>
      </c>
      <c r="AD527" s="5" t="s">
        <v>1558</v>
      </c>
      <c r="AE527" s="5">
        <v>2015.0</v>
      </c>
      <c r="AF527" s="36">
        <v>46068.40679619213</v>
      </c>
      <c r="AG527" s="5" t="s">
        <v>1549</v>
      </c>
    </row>
    <row r="528" ht="22.5" hidden="1" customHeight="1">
      <c r="A528" s="5" t="s">
        <v>2187</v>
      </c>
      <c r="B528" s="5" t="s">
        <v>1506</v>
      </c>
      <c r="C528" s="5" t="s">
        <v>1281</v>
      </c>
      <c r="D528" s="5" t="s">
        <v>14</v>
      </c>
      <c r="E528" s="5">
        <v>9.84954084E9</v>
      </c>
      <c r="F528" s="5" t="s">
        <v>1282</v>
      </c>
      <c r="H528" s="35">
        <v>33511.0</v>
      </c>
      <c r="I528" s="5" t="s">
        <v>156</v>
      </c>
      <c r="J528" s="5" t="s">
        <v>36</v>
      </c>
      <c r="K528" s="5" t="b">
        <v>0</v>
      </c>
      <c r="L528" s="5" t="b">
        <v>0</v>
      </c>
      <c r="N528" s="5">
        <v>12000.0</v>
      </c>
      <c r="O528" s="5">
        <v>0.0</v>
      </c>
      <c r="P528" s="5">
        <v>0.0</v>
      </c>
      <c r="R528" s="5" t="b">
        <v>0</v>
      </c>
      <c r="U528" s="5" t="s">
        <v>1517</v>
      </c>
      <c r="V528" s="5" t="s">
        <v>1508</v>
      </c>
      <c r="W528" s="5" t="s">
        <v>1548</v>
      </c>
      <c r="X528" s="5" t="s">
        <v>1509</v>
      </c>
      <c r="Z528" s="5">
        <v>1.0</v>
      </c>
      <c r="AA528" s="5" t="s">
        <v>779</v>
      </c>
      <c r="AB528" s="5">
        <v>11999.0</v>
      </c>
      <c r="AC528" s="5" t="s">
        <v>1546</v>
      </c>
      <c r="AD528" s="5" t="s">
        <v>1558</v>
      </c>
      <c r="AE528" s="5">
        <v>1011.0</v>
      </c>
      <c r="AF528" s="36">
        <v>46068.36117891204</v>
      </c>
      <c r="AG528" s="5" t="s">
        <v>1549</v>
      </c>
    </row>
    <row r="529" ht="22.5" hidden="1" customHeight="1">
      <c r="A529" s="5" t="s">
        <v>2188</v>
      </c>
      <c r="B529" s="5" t="s">
        <v>1506</v>
      </c>
      <c r="C529" s="5" t="s">
        <v>2189</v>
      </c>
      <c r="D529" s="5" t="s">
        <v>366</v>
      </c>
      <c r="E529" s="25" t="s">
        <v>1340</v>
      </c>
      <c r="F529" s="5" t="s">
        <v>1341</v>
      </c>
      <c r="G529" s="5">
        <v>5322027.0</v>
      </c>
      <c r="H529" s="35">
        <v>31593.0</v>
      </c>
      <c r="I529" s="5" t="s">
        <v>156</v>
      </c>
      <c r="J529" s="5" t="s">
        <v>36</v>
      </c>
      <c r="K529" s="5" t="b">
        <v>0</v>
      </c>
      <c r="L529" s="5" t="b">
        <v>0</v>
      </c>
      <c r="N529" s="5">
        <v>150.0</v>
      </c>
      <c r="O529" s="5">
        <v>0.0</v>
      </c>
      <c r="P529" s="5">
        <v>0.0</v>
      </c>
      <c r="R529" s="5" t="b">
        <v>0</v>
      </c>
      <c r="U529" s="5" t="s">
        <v>1517</v>
      </c>
      <c r="V529" s="5" t="s">
        <v>1508</v>
      </c>
      <c r="W529" s="5" t="s">
        <v>1548</v>
      </c>
      <c r="X529" s="5" t="s">
        <v>1509</v>
      </c>
      <c r="Z529" s="5">
        <v>150.0</v>
      </c>
      <c r="AB529" s="5">
        <v>0.0</v>
      </c>
      <c r="AC529" s="5" t="s">
        <v>1546</v>
      </c>
      <c r="AD529" s="5" t="s">
        <v>1558</v>
      </c>
      <c r="AE529" s="5">
        <v>1030.0</v>
      </c>
      <c r="AF529" s="36">
        <v>46068.11894995371</v>
      </c>
      <c r="AG529" s="5" t="s">
        <v>1549</v>
      </c>
    </row>
    <row r="530" ht="22.5" hidden="1" customHeight="1">
      <c r="A530" s="5" t="s">
        <v>2190</v>
      </c>
      <c r="B530" s="5" t="s">
        <v>1506</v>
      </c>
      <c r="C530" s="5" t="s">
        <v>2191</v>
      </c>
      <c r="D530" s="5" t="s">
        <v>14</v>
      </c>
      <c r="E530" s="25" t="s">
        <v>1284</v>
      </c>
      <c r="F530" s="5" t="s">
        <v>1285</v>
      </c>
      <c r="G530" s="5">
        <v>5794164.0</v>
      </c>
      <c r="H530" s="35">
        <v>35862.0</v>
      </c>
      <c r="I530" s="5" t="s">
        <v>156</v>
      </c>
      <c r="J530" s="5" t="s">
        <v>36</v>
      </c>
      <c r="K530" s="5" t="b">
        <v>0</v>
      </c>
      <c r="L530" s="5" t="b">
        <v>0</v>
      </c>
      <c r="N530" s="5">
        <v>12000.0</v>
      </c>
      <c r="O530" s="5">
        <v>0.0</v>
      </c>
      <c r="P530" s="5">
        <v>0.0</v>
      </c>
      <c r="R530" s="5" t="b">
        <v>0</v>
      </c>
      <c r="U530" s="5" t="s">
        <v>1517</v>
      </c>
      <c r="V530" s="5" t="s">
        <v>1508</v>
      </c>
      <c r="W530" s="5" t="s">
        <v>1548</v>
      </c>
      <c r="X530" s="5" t="s">
        <v>1509</v>
      </c>
      <c r="Z530" s="5">
        <v>1.0</v>
      </c>
      <c r="AA530" s="5" t="s">
        <v>779</v>
      </c>
      <c r="AB530" s="5">
        <v>11999.0</v>
      </c>
      <c r="AC530" s="5" t="s">
        <v>1546</v>
      </c>
      <c r="AD530" s="5" t="s">
        <v>1558</v>
      </c>
      <c r="AE530" s="5">
        <v>1012.0</v>
      </c>
      <c r="AF530" s="36">
        <v>46067.39570952547</v>
      </c>
      <c r="AG530" s="5" t="s">
        <v>1549</v>
      </c>
    </row>
    <row r="531" ht="22.5" hidden="1" customHeight="1">
      <c r="A531" s="5" t="s">
        <v>2192</v>
      </c>
      <c r="B531" s="5" t="s">
        <v>1506</v>
      </c>
      <c r="C531" s="5" t="s">
        <v>1082</v>
      </c>
      <c r="D531" s="5" t="s">
        <v>14</v>
      </c>
      <c r="E531" s="25" t="s">
        <v>1083</v>
      </c>
      <c r="F531" s="5" t="s">
        <v>1084</v>
      </c>
      <c r="G531" s="5">
        <v>6345206.0</v>
      </c>
      <c r="H531" s="35">
        <v>24381.0</v>
      </c>
      <c r="I531" s="5" t="s">
        <v>156</v>
      </c>
      <c r="J531" s="5" t="s">
        <v>42</v>
      </c>
      <c r="K531" s="5" t="b">
        <v>0</v>
      </c>
      <c r="L531" s="5" t="b">
        <v>0</v>
      </c>
      <c r="N531" s="5">
        <v>7500.0</v>
      </c>
      <c r="O531" s="5">
        <v>0.0</v>
      </c>
      <c r="P531" s="5">
        <v>0.0</v>
      </c>
      <c r="R531" s="5" t="b">
        <v>0</v>
      </c>
      <c r="U531" s="5" t="s">
        <v>1517</v>
      </c>
      <c r="V531" s="5" t="s">
        <v>1508</v>
      </c>
      <c r="W531" s="5" t="s">
        <v>1508</v>
      </c>
      <c r="X531" s="5" t="s">
        <v>1509</v>
      </c>
      <c r="Z531" s="5">
        <v>1.0</v>
      </c>
      <c r="AA531" s="5" t="s">
        <v>779</v>
      </c>
      <c r="AB531" s="5">
        <v>7499.0</v>
      </c>
      <c r="AC531" s="5" t="s">
        <v>1546</v>
      </c>
      <c r="AD531" s="5" t="s">
        <v>1558</v>
      </c>
      <c r="AE531" s="5">
        <v>2016.0</v>
      </c>
      <c r="AF531" s="36">
        <v>46066.51589908565</v>
      </c>
    </row>
    <row r="532" ht="22.5" hidden="1" customHeight="1">
      <c r="A532" s="5" t="s">
        <v>2193</v>
      </c>
      <c r="B532" s="5" t="s">
        <v>1506</v>
      </c>
      <c r="C532" s="5" t="s">
        <v>1303</v>
      </c>
      <c r="D532" s="5" t="s">
        <v>904</v>
      </c>
      <c r="E532" s="5">
        <v>1.701064089E9</v>
      </c>
      <c r="F532" s="5" t="s">
        <v>1304</v>
      </c>
      <c r="G532" s="5">
        <v>5379989.0</v>
      </c>
      <c r="H532" s="35">
        <v>35259.0</v>
      </c>
      <c r="I532" s="5" t="s">
        <v>156</v>
      </c>
      <c r="J532" s="5" t="s">
        <v>36</v>
      </c>
      <c r="K532" s="5" t="b">
        <v>0</v>
      </c>
      <c r="L532" s="5" t="b">
        <v>0</v>
      </c>
      <c r="N532" s="5">
        <v>150.0</v>
      </c>
      <c r="O532" s="5">
        <v>0.0</v>
      </c>
      <c r="P532" s="5">
        <v>0.0</v>
      </c>
      <c r="R532" s="5" t="b">
        <v>0</v>
      </c>
      <c r="U532" s="5" t="s">
        <v>1507</v>
      </c>
      <c r="V532" s="5" t="s">
        <v>1508</v>
      </c>
      <c r="W532" s="5" t="s">
        <v>1508</v>
      </c>
      <c r="X532" s="5" t="s">
        <v>1509</v>
      </c>
      <c r="Z532" s="5">
        <v>150.0</v>
      </c>
      <c r="AB532" s="5">
        <v>0.0</v>
      </c>
      <c r="AC532" s="5" t="s">
        <v>1546</v>
      </c>
      <c r="AD532" s="5" t="s">
        <v>1558</v>
      </c>
      <c r="AE532" s="5">
        <v>1031.0</v>
      </c>
      <c r="AF532" s="36">
        <v>46065.63044677083</v>
      </c>
    </row>
    <row r="533" ht="22.5" hidden="1" customHeight="1">
      <c r="A533" s="5" t="s">
        <v>2194</v>
      </c>
      <c r="B533" s="5" t="s">
        <v>1506</v>
      </c>
      <c r="C533" s="5" t="s">
        <v>1305</v>
      </c>
      <c r="D533" s="5" t="s">
        <v>904</v>
      </c>
      <c r="E533" s="25" t="s">
        <v>1306</v>
      </c>
      <c r="F533" s="5" t="s">
        <v>1307</v>
      </c>
      <c r="G533" s="5">
        <v>5379998.0</v>
      </c>
      <c r="H533" s="35">
        <v>31357.0</v>
      </c>
      <c r="I533" s="5" t="s">
        <v>156</v>
      </c>
      <c r="J533" s="5" t="s">
        <v>36</v>
      </c>
      <c r="K533" s="5" t="b">
        <v>0</v>
      </c>
      <c r="L533" s="5" t="b">
        <v>0</v>
      </c>
      <c r="N533" s="5">
        <v>150.0</v>
      </c>
      <c r="O533" s="5">
        <v>0.0</v>
      </c>
      <c r="P533" s="5">
        <v>0.0</v>
      </c>
      <c r="R533" s="5" t="b">
        <v>0</v>
      </c>
      <c r="U533" s="5" t="s">
        <v>1519</v>
      </c>
      <c r="V533" s="5" t="s">
        <v>1508</v>
      </c>
      <c r="W533" s="5" t="s">
        <v>1548</v>
      </c>
      <c r="X533" s="5" t="s">
        <v>1509</v>
      </c>
      <c r="Z533" s="5">
        <v>1.0</v>
      </c>
      <c r="AA533" s="5" t="s">
        <v>1649</v>
      </c>
      <c r="AB533" s="5">
        <v>3000.0</v>
      </c>
      <c r="AC533" s="5" t="s">
        <v>1546</v>
      </c>
      <c r="AD533" s="5" t="s">
        <v>1511</v>
      </c>
      <c r="AE533" s="5">
        <v>1038.0</v>
      </c>
      <c r="AF533" s="36">
        <v>46064.30493613426</v>
      </c>
      <c r="AG533" s="5" t="s">
        <v>1549</v>
      </c>
    </row>
    <row r="534" ht="22.5" hidden="1" customHeight="1">
      <c r="A534" s="5" t="s">
        <v>2195</v>
      </c>
      <c r="B534" s="5" t="s">
        <v>1506</v>
      </c>
      <c r="C534" s="5" t="s">
        <v>2196</v>
      </c>
      <c r="D534" s="5" t="s">
        <v>14</v>
      </c>
      <c r="E534" s="5">
        <v>9.841038062E9</v>
      </c>
      <c r="F534" s="5" t="s">
        <v>1287</v>
      </c>
      <c r="G534" s="5">
        <v>5379501.0</v>
      </c>
      <c r="H534" s="35">
        <v>37154.0</v>
      </c>
      <c r="I534" s="5" t="s">
        <v>156</v>
      </c>
      <c r="J534" s="5" t="s">
        <v>36</v>
      </c>
      <c r="K534" s="5" t="b">
        <v>0</v>
      </c>
      <c r="L534" s="5" t="b">
        <v>0</v>
      </c>
      <c r="N534" s="5">
        <v>12000.0</v>
      </c>
      <c r="O534" s="5">
        <v>0.0</v>
      </c>
      <c r="P534" s="5">
        <v>0.0</v>
      </c>
      <c r="R534" s="5" t="b">
        <v>0</v>
      </c>
      <c r="U534" s="5" t="s">
        <v>1517</v>
      </c>
      <c r="V534" s="5" t="s">
        <v>1508</v>
      </c>
      <c r="W534" s="5" t="s">
        <v>1548</v>
      </c>
      <c r="X534" s="5" t="s">
        <v>1509</v>
      </c>
      <c r="Z534" s="5">
        <v>12000.0</v>
      </c>
      <c r="AB534" s="5">
        <v>0.0</v>
      </c>
      <c r="AC534" s="5" t="s">
        <v>1510</v>
      </c>
      <c r="AD534" s="5" t="s">
        <v>1511</v>
      </c>
      <c r="AE534" s="5">
        <v>1037.0</v>
      </c>
      <c r="AF534" s="36">
        <v>46062.6247224537</v>
      </c>
      <c r="AG534" s="5" t="s">
        <v>1549</v>
      </c>
    </row>
    <row r="535" ht="22.5" hidden="1" customHeight="1">
      <c r="A535" s="5" t="s">
        <v>2197</v>
      </c>
      <c r="B535" s="5" t="s">
        <v>1506</v>
      </c>
      <c r="C535" s="5" t="s">
        <v>829</v>
      </c>
      <c r="D535" s="5" t="s">
        <v>14</v>
      </c>
      <c r="E535" s="5">
        <v>9.846552609E9</v>
      </c>
      <c r="F535" s="5" t="s">
        <v>830</v>
      </c>
      <c r="G535" s="5">
        <v>6937000.0</v>
      </c>
      <c r="H535" s="35">
        <v>34816.0</v>
      </c>
      <c r="I535" s="5" t="s">
        <v>156</v>
      </c>
      <c r="J535" s="5" t="s">
        <v>39</v>
      </c>
      <c r="K535" s="5" t="b">
        <v>0</v>
      </c>
      <c r="L535" s="5" t="b">
        <v>0</v>
      </c>
      <c r="N535" s="5">
        <v>3000.0</v>
      </c>
      <c r="O535" s="5">
        <v>0.0</v>
      </c>
      <c r="P535" s="5">
        <v>0.0</v>
      </c>
      <c r="R535" s="5" t="b">
        <v>0</v>
      </c>
      <c r="U535" s="5" t="s">
        <v>1519</v>
      </c>
      <c r="V535" s="5" t="s">
        <v>1508</v>
      </c>
      <c r="W535" s="5" t="s">
        <v>1508</v>
      </c>
      <c r="X535" s="5" t="s">
        <v>1509</v>
      </c>
      <c r="Z535" s="5">
        <v>3000.0</v>
      </c>
      <c r="AB535" s="5">
        <v>0.0</v>
      </c>
      <c r="AC535" s="5" t="s">
        <v>1510</v>
      </c>
      <c r="AD535" s="5" t="s">
        <v>1511</v>
      </c>
      <c r="AE535" s="5">
        <v>3012.0</v>
      </c>
      <c r="AF535" s="36">
        <v>46062.33599505787</v>
      </c>
    </row>
    <row r="536" ht="22.5" customHeight="1">
      <c r="A536" s="5" t="s">
        <v>2198</v>
      </c>
      <c r="B536" s="5" t="s">
        <v>1506</v>
      </c>
      <c r="C536" s="5" t="s">
        <v>360</v>
      </c>
      <c r="D536" s="5" t="s">
        <v>14</v>
      </c>
      <c r="E536" s="5">
        <v>9.745463926E9</v>
      </c>
      <c r="F536" s="5" t="s">
        <v>361</v>
      </c>
      <c r="H536" s="35">
        <v>38326.0</v>
      </c>
      <c r="I536" s="5" t="s">
        <v>156</v>
      </c>
      <c r="J536" s="5" t="s">
        <v>17</v>
      </c>
      <c r="K536" s="5" t="b">
        <v>0</v>
      </c>
      <c r="L536" s="5" t="b">
        <v>0</v>
      </c>
      <c r="N536" s="5">
        <v>0.0</v>
      </c>
      <c r="O536" s="5">
        <v>0.0</v>
      </c>
      <c r="P536" s="5">
        <v>0.0</v>
      </c>
      <c r="R536" s="5" t="b">
        <v>0</v>
      </c>
      <c r="U536" s="5" t="s">
        <v>1517</v>
      </c>
      <c r="V536" s="5" t="s">
        <v>1508</v>
      </c>
      <c r="W536" s="5" t="s">
        <v>1548</v>
      </c>
      <c r="X536" s="5" t="s">
        <v>1509</v>
      </c>
      <c r="Z536" s="5">
        <v>2500.0</v>
      </c>
      <c r="AB536" s="5">
        <v>0.0</v>
      </c>
      <c r="AC536" s="5" t="s">
        <v>1510</v>
      </c>
      <c r="AE536" s="5">
        <v>4049.0</v>
      </c>
      <c r="AF536" s="36">
        <v>46061.44707596065</v>
      </c>
      <c r="AG536" s="5" t="s">
        <v>1549</v>
      </c>
    </row>
    <row r="537" ht="22.5" hidden="1" customHeight="1">
      <c r="A537" s="5" t="s">
        <v>2199</v>
      </c>
      <c r="B537" s="5" t="s">
        <v>1506</v>
      </c>
      <c r="C537" s="5" t="s">
        <v>1288</v>
      </c>
      <c r="D537" s="5" t="s">
        <v>14</v>
      </c>
      <c r="E537" s="5">
        <v>9.858423303E9</v>
      </c>
      <c r="F537" s="5" t="s">
        <v>1289</v>
      </c>
      <c r="G537" s="5">
        <v>6222655.0</v>
      </c>
      <c r="H537" s="35">
        <v>31777.0</v>
      </c>
      <c r="I537" s="5" t="s">
        <v>156</v>
      </c>
      <c r="J537" s="5" t="s">
        <v>36</v>
      </c>
      <c r="K537" s="5" t="b">
        <v>0</v>
      </c>
      <c r="L537" s="5" t="b">
        <v>0</v>
      </c>
      <c r="N537" s="5">
        <v>12000.0</v>
      </c>
      <c r="O537" s="5">
        <v>0.0</v>
      </c>
      <c r="P537" s="5">
        <v>0.0</v>
      </c>
      <c r="R537" s="5" t="b">
        <v>0</v>
      </c>
      <c r="U537" s="5" t="s">
        <v>1519</v>
      </c>
      <c r="V537" s="5" t="s">
        <v>1508</v>
      </c>
      <c r="W537" s="5" t="s">
        <v>1508</v>
      </c>
      <c r="X537" s="5" t="s">
        <v>1509</v>
      </c>
      <c r="Z537" s="5">
        <v>12000.0</v>
      </c>
      <c r="AB537" s="5">
        <v>0.0</v>
      </c>
      <c r="AC537" s="5" t="s">
        <v>1510</v>
      </c>
      <c r="AE537" s="5">
        <v>1048.0</v>
      </c>
      <c r="AF537" s="36">
        <v>46060.27223644676</v>
      </c>
      <c r="AG537" s="5" t="s">
        <v>2200</v>
      </c>
    </row>
    <row r="538" ht="22.5" hidden="1" customHeight="1">
      <c r="A538" s="5" t="s">
        <v>2201</v>
      </c>
      <c r="B538" s="5" t="s">
        <v>1506</v>
      </c>
      <c r="C538" s="5" t="s">
        <v>1085</v>
      </c>
      <c r="D538" s="5" t="s">
        <v>14</v>
      </c>
      <c r="E538" s="5">
        <v>9.767271895E9</v>
      </c>
      <c r="F538" s="5" t="s">
        <v>1086</v>
      </c>
      <c r="G538" s="5">
        <v>5379407.0</v>
      </c>
      <c r="H538" s="35">
        <v>36123.0</v>
      </c>
      <c r="I538" s="5" t="s">
        <v>156</v>
      </c>
      <c r="J538" s="5" t="s">
        <v>42</v>
      </c>
      <c r="K538" s="5" t="b">
        <v>0</v>
      </c>
      <c r="L538" s="5" t="b">
        <v>0</v>
      </c>
      <c r="N538" s="5">
        <v>7500.0</v>
      </c>
      <c r="O538" s="5">
        <v>0.0</v>
      </c>
      <c r="P538" s="5">
        <v>0.0</v>
      </c>
      <c r="R538" s="5" t="b">
        <v>0</v>
      </c>
      <c r="U538" s="5" t="s">
        <v>1517</v>
      </c>
      <c r="V538" s="5" t="s">
        <v>1508</v>
      </c>
      <c r="W538" s="5" t="s">
        <v>1508</v>
      </c>
      <c r="X538" s="5" t="s">
        <v>1509</v>
      </c>
      <c r="Z538" s="5">
        <v>7500.0</v>
      </c>
      <c r="AB538" s="5">
        <v>0.0</v>
      </c>
      <c r="AC538" s="5" t="s">
        <v>1510</v>
      </c>
      <c r="AD538" s="5" t="s">
        <v>1511</v>
      </c>
      <c r="AE538" s="5">
        <v>2050.0</v>
      </c>
      <c r="AF538" s="36">
        <v>46060.27223144676</v>
      </c>
      <c r="AG538" s="5" t="s">
        <v>2200</v>
      </c>
    </row>
    <row r="539" ht="22.5" hidden="1" customHeight="1">
      <c r="A539" s="5" t="s">
        <v>2202</v>
      </c>
      <c r="B539" s="5" t="s">
        <v>1506</v>
      </c>
      <c r="C539" s="5" t="s">
        <v>1087</v>
      </c>
      <c r="D539" s="5" t="s">
        <v>14</v>
      </c>
      <c r="E539" s="5">
        <v>9.763378293E9</v>
      </c>
      <c r="F539" s="5" t="s">
        <v>1088</v>
      </c>
      <c r="G539" s="5">
        <v>6999698.0</v>
      </c>
      <c r="H539" s="35">
        <v>37523.0</v>
      </c>
      <c r="I539" s="5" t="s">
        <v>156</v>
      </c>
      <c r="J539" s="5" t="s">
        <v>42</v>
      </c>
      <c r="K539" s="5" t="b">
        <v>0</v>
      </c>
      <c r="L539" s="5" t="b">
        <v>0</v>
      </c>
      <c r="N539" s="5">
        <v>7500.0</v>
      </c>
      <c r="O539" s="5">
        <v>0.0</v>
      </c>
      <c r="P539" s="5">
        <v>0.0</v>
      </c>
      <c r="R539" s="5" t="b">
        <v>0</v>
      </c>
      <c r="U539" s="5" t="s">
        <v>1519</v>
      </c>
      <c r="V539" s="5" t="s">
        <v>1508</v>
      </c>
      <c r="W539" s="5" t="s">
        <v>1508</v>
      </c>
      <c r="X539" s="5" t="s">
        <v>1509</v>
      </c>
      <c r="Z539" s="5">
        <v>7500.0</v>
      </c>
      <c r="AB539" s="5">
        <v>0.0</v>
      </c>
      <c r="AC539" s="5" t="s">
        <v>1510</v>
      </c>
      <c r="AD539" s="5" t="s">
        <v>1511</v>
      </c>
      <c r="AE539" s="5">
        <v>2143.0</v>
      </c>
      <c r="AF539" s="36">
        <v>46060.27222811343</v>
      </c>
      <c r="AG539" s="5" t="s">
        <v>2200</v>
      </c>
    </row>
    <row r="540" ht="22.5" hidden="1" customHeight="1">
      <c r="A540" s="5" t="s">
        <v>2203</v>
      </c>
      <c r="B540" s="5" t="s">
        <v>1506</v>
      </c>
      <c r="C540" s="5" t="s">
        <v>2204</v>
      </c>
      <c r="D540" s="5" t="s">
        <v>14</v>
      </c>
      <c r="E540" s="5">
        <v>9.745248786E9</v>
      </c>
      <c r="F540" s="5" t="s">
        <v>1091</v>
      </c>
      <c r="G540" s="5">
        <v>6293619.0</v>
      </c>
      <c r="H540" s="35">
        <v>38252.0</v>
      </c>
      <c r="I540" s="5" t="s">
        <v>156</v>
      </c>
      <c r="J540" s="5" t="s">
        <v>42</v>
      </c>
      <c r="K540" s="5" t="b">
        <v>0</v>
      </c>
      <c r="L540" s="5" t="b">
        <v>0</v>
      </c>
      <c r="N540" s="5">
        <v>7500.0</v>
      </c>
      <c r="O540" s="5">
        <v>0.0</v>
      </c>
      <c r="P540" s="5">
        <v>0.0</v>
      </c>
      <c r="R540" s="5" t="b">
        <v>0</v>
      </c>
      <c r="U540" s="5" t="s">
        <v>1517</v>
      </c>
      <c r="V540" s="5" t="s">
        <v>1508</v>
      </c>
      <c r="W540" s="5" t="s">
        <v>1508</v>
      </c>
      <c r="X540" s="5" t="s">
        <v>1509</v>
      </c>
      <c r="Z540" s="5">
        <v>7500.0</v>
      </c>
      <c r="AB540" s="5">
        <v>0.0</v>
      </c>
      <c r="AC540" s="5" t="s">
        <v>1510</v>
      </c>
      <c r="AD540" s="5" t="s">
        <v>1558</v>
      </c>
      <c r="AE540" s="5">
        <v>2014.0</v>
      </c>
      <c r="AF540" s="36">
        <v>46060.272225671295</v>
      </c>
      <c r="AG540" s="5" t="s">
        <v>2200</v>
      </c>
    </row>
    <row r="541" ht="22.5" hidden="1" customHeight="1">
      <c r="A541" s="5" t="s">
        <v>2205</v>
      </c>
      <c r="B541" s="5" t="s">
        <v>1506</v>
      </c>
      <c r="C541" s="5" t="s">
        <v>2206</v>
      </c>
      <c r="D541" s="5" t="s">
        <v>137</v>
      </c>
      <c r="E541" s="25" t="s">
        <v>1124</v>
      </c>
      <c r="F541" s="5" t="s">
        <v>1125</v>
      </c>
      <c r="G541" s="5">
        <v>1750915.0</v>
      </c>
      <c r="H541" s="35">
        <v>26176.0</v>
      </c>
      <c r="I541" s="5" t="s">
        <v>156</v>
      </c>
      <c r="J541" s="5" t="s">
        <v>42</v>
      </c>
      <c r="K541" s="5" t="b">
        <v>0</v>
      </c>
      <c r="L541" s="5" t="b">
        <v>0</v>
      </c>
      <c r="N541" s="5">
        <v>80.0</v>
      </c>
      <c r="O541" s="5">
        <v>0.0</v>
      </c>
      <c r="P541" s="5">
        <v>0.0</v>
      </c>
      <c r="R541" s="5" t="b">
        <v>0</v>
      </c>
      <c r="U541" s="5" t="s">
        <v>1517</v>
      </c>
      <c r="V541" s="5" t="s">
        <v>1508</v>
      </c>
      <c r="W541" s="5" t="s">
        <v>1508</v>
      </c>
      <c r="X541" s="5" t="s">
        <v>1509</v>
      </c>
      <c r="Z541" s="5">
        <v>80.0</v>
      </c>
      <c r="AB541" s="5">
        <v>0.0</v>
      </c>
      <c r="AC541" s="5" t="s">
        <v>1546</v>
      </c>
      <c r="AD541" s="5" t="s">
        <v>1558</v>
      </c>
      <c r="AE541" s="5">
        <v>2027.0</v>
      </c>
      <c r="AF541" s="36">
        <v>46060.27222319444</v>
      </c>
      <c r="AG541" s="5" t="s">
        <v>2200</v>
      </c>
    </row>
    <row r="542" ht="22.5" hidden="1" customHeight="1">
      <c r="A542" s="5" t="s">
        <v>2207</v>
      </c>
      <c r="B542" s="5" t="s">
        <v>1506</v>
      </c>
      <c r="C542" s="5" t="s">
        <v>1136</v>
      </c>
      <c r="D542" s="5" t="s">
        <v>366</v>
      </c>
      <c r="E542" s="25" t="s">
        <v>1137</v>
      </c>
      <c r="F542" s="5" t="s">
        <v>1138</v>
      </c>
      <c r="G542" s="5">
        <v>4687666.0</v>
      </c>
      <c r="H542" s="35">
        <v>33656.0</v>
      </c>
      <c r="I542" s="5" t="s">
        <v>156</v>
      </c>
      <c r="J542" s="5" t="s">
        <v>42</v>
      </c>
      <c r="K542" s="5" t="b">
        <v>0</v>
      </c>
      <c r="L542" s="5" t="b">
        <v>0</v>
      </c>
      <c r="N542" s="5">
        <v>80.0</v>
      </c>
      <c r="O542" s="5">
        <v>0.0</v>
      </c>
      <c r="P542" s="5">
        <v>0.0</v>
      </c>
      <c r="R542" s="5" t="b">
        <v>0</v>
      </c>
      <c r="U542" s="5" t="s">
        <v>1519</v>
      </c>
      <c r="V542" s="5" t="s">
        <v>1508</v>
      </c>
      <c r="W542" s="5" t="s">
        <v>1508</v>
      </c>
      <c r="X542" s="5" t="s">
        <v>1509</v>
      </c>
      <c r="Z542" s="5">
        <v>80.0</v>
      </c>
      <c r="AB542" s="5">
        <v>0.0</v>
      </c>
      <c r="AC542" s="5" t="s">
        <v>1546</v>
      </c>
      <c r="AD542" s="5" t="s">
        <v>1558</v>
      </c>
      <c r="AE542" s="5">
        <v>2026.0</v>
      </c>
      <c r="AF542" s="36">
        <v>46060.272220659725</v>
      </c>
      <c r="AG542" s="5" t="s">
        <v>2200</v>
      </c>
    </row>
    <row r="543" ht="22.5" hidden="1" customHeight="1">
      <c r="A543" s="5" t="s">
        <v>2208</v>
      </c>
      <c r="B543" s="5" t="s">
        <v>1506</v>
      </c>
      <c r="C543" s="5" t="s">
        <v>2209</v>
      </c>
      <c r="D543" s="5" t="s">
        <v>14</v>
      </c>
      <c r="E543" s="5">
        <v>9.742338475E9</v>
      </c>
      <c r="F543" s="5" t="s">
        <v>1093</v>
      </c>
      <c r="G543" s="5" t="s">
        <v>812</v>
      </c>
      <c r="H543" s="35">
        <v>37490.0</v>
      </c>
      <c r="I543" s="5" t="s">
        <v>156</v>
      </c>
      <c r="J543" s="5" t="s">
        <v>42</v>
      </c>
      <c r="K543" s="5" t="b">
        <v>0</v>
      </c>
      <c r="L543" s="5" t="b">
        <v>0</v>
      </c>
      <c r="N543" s="5">
        <v>7500.0</v>
      </c>
      <c r="O543" s="5">
        <v>0.0</v>
      </c>
      <c r="P543" s="5">
        <v>0.0</v>
      </c>
      <c r="R543" s="5" t="b">
        <v>0</v>
      </c>
      <c r="U543" s="5" t="s">
        <v>1514</v>
      </c>
      <c r="V543" s="5" t="s">
        <v>1508</v>
      </c>
      <c r="W543" s="5" t="s">
        <v>1508</v>
      </c>
      <c r="X543" s="5" t="s">
        <v>1509</v>
      </c>
      <c r="Z543" s="5">
        <v>7500.0</v>
      </c>
      <c r="AB543" s="5">
        <v>0.0</v>
      </c>
      <c r="AC543" s="5" t="s">
        <v>1510</v>
      </c>
      <c r="AD543" s="5" t="s">
        <v>1511</v>
      </c>
      <c r="AE543" s="5">
        <v>2142.0</v>
      </c>
      <c r="AF543" s="36">
        <v>46060.27221559028</v>
      </c>
      <c r="AG543" s="5" t="s">
        <v>2200</v>
      </c>
    </row>
    <row r="544" ht="22.5" hidden="1" customHeight="1">
      <c r="A544" s="5" t="s">
        <v>2210</v>
      </c>
      <c r="B544" s="5" t="s">
        <v>1506</v>
      </c>
      <c r="C544" s="5" t="s">
        <v>1139</v>
      </c>
      <c r="D544" s="5" t="s">
        <v>366</v>
      </c>
      <c r="E544" s="25" t="s">
        <v>1140</v>
      </c>
      <c r="F544" s="5" t="s">
        <v>1141</v>
      </c>
      <c r="G544" s="5">
        <v>6951190.0</v>
      </c>
      <c r="H544" s="35">
        <v>34651.0</v>
      </c>
      <c r="I544" s="5" t="s">
        <v>156</v>
      </c>
      <c r="J544" s="5" t="s">
        <v>42</v>
      </c>
      <c r="K544" s="5" t="b">
        <v>0</v>
      </c>
      <c r="L544" s="5" t="b">
        <v>0</v>
      </c>
      <c r="N544" s="5">
        <v>80.0</v>
      </c>
      <c r="O544" s="5">
        <v>0.0</v>
      </c>
      <c r="P544" s="5">
        <v>0.0</v>
      </c>
      <c r="R544" s="5" t="b">
        <v>0</v>
      </c>
      <c r="U544" s="5" t="s">
        <v>1507</v>
      </c>
      <c r="V544" s="5" t="s">
        <v>1508</v>
      </c>
      <c r="W544" s="5" t="s">
        <v>1508</v>
      </c>
      <c r="X544" s="5" t="s">
        <v>1509</v>
      </c>
      <c r="Z544" s="5">
        <v>80.0</v>
      </c>
      <c r="AB544" s="5">
        <v>0.0</v>
      </c>
      <c r="AC544" s="5" t="s">
        <v>1546</v>
      </c>
      <c r="AD544" s="5" t="s">
        <v>1558</v>
      </c>
      <c r="AE544" s="5">
        <v>2028.0</v>
      </c>
      <c r="AF544" s="36">
        <v>46060.272212222226</v>
      </c>
      <c r="AG544" s="5" t="s">
        <v>2200</v>
      </c>
    </row>
    <row r="545" ht="22.5" hidden="1" customHeight="1">
      <c r="A545" s="5" t="s">
        <v>2211</v>
      </c>
      <c r="B545" s="5" t="s">
        <v>1506</v>
      </c>
      <c r="C545" s="5" t="s">
        <v>2212</v>
      </c>
      <c r="D545" s="5" t="s">
        <v>14</v>
      </c>
      <c r="E545" s="5">
        <v>9.851125444E9</v>
      </c>
      <c r="F545" s="5" t="s">
        <v>1095</v>
      </c>
      <c r="H545" s="35">
        <v>29782.0</v>
      </c>
      <c r="I545" s="5" t="s">
        <v>156</v>
      </c>
      <c r="J545" s="5" t="s">
        <v>42</v>
      </c>
      <c r="K545" s="5" t="b">
        <v>0</v>
      </c>
      <c r="L545" s="5" t="b">
        <v>0</v>
      </c>
      <c r="N545" s="5">
        <v>7500.0</v>
      </c>
      <c r="O545" s="5">
        <v>0.0</v>
      </c>
      <c r="P545" s="5">
        <v>0.0</v>
      </c>
      <c r="R545" s="5" t="b">
        <v>0</v>
      </c>
      <c r="U545" s="5" t="s">
        <v>1517</v>
      </c>
      <c r="V545" s="5" t="s">
        <v>1508</v>
      </c>
      <c r="W545" s="5" t="s">
        <v>1508</v>
      </c>
      <c r="X545" s="5" t="s">
        <v>1509</v>
      </c>
      <c r="Z545" s="5">
        <v>7500.0</v>
      </c>
      <c r="AB545" s="5">
        <v>0.0</v>
      </c>
      <c r="AC545" s="5" t="s">
        <v>1510</v>
      </c>
      <c r="AD545" s="5" t="s">
        <v>1558</v>
      </c>
      <c r="AE545" s="5">
        <v>2017.0</v>
      </c>
      <c r="AF545" s="36">
        <v>46060.27220719907</v>
      </c>
      <c r="AG545" s="5" t="s">
        <v>2200</v>
      </c>
    </row>
    <row r="546" ht="22.5" customHeight="1">
      <c r="A546" s="5" t="s">
        <v>2213</v>
      </c>
      <c r="B546" s="5" t="s">
        <v>1506</v>
      </c>
      <c r="C546" s="5" t="s">
        <v>2214</v>
      </c>
      <c r="D546" s="5" t="s">
        <v>366</v>
      </c>
      <c r="E546" s="25" t="s">
        <v>369</v>
      </c>
      <c r="F546" s="5" t="s">
        <v>370</v>
      </c>
      <c r="H546" s="35">
        <v>33647.0</v>
      </c>
      <c r="I546" s="5" t="s">
        <v>156</v>
      </c>
      <c r="J546" s="5" t="s">
        <v>17</v>
      </c>
      <c r="K546" s="5" t="b">
        <v>0</v>
      </c>
      <c r="L546" s="5" t="b">
        <v>0</v>
      </c>
      <c r="N546" s="5">
        <v>10.0</v>
      </c>
      <c r="O546" s="5">
        <v>0.0</v>
      </c>
      <c r="P546" s="5">
        <v>0.0</v>
      </c>
      <c r="R546" s="5" t="b">
        <v>0</v>
      </c>
      <c r="U546" s="5" t="s">
        <v>1507</v>
      </c>
      <c r="V546" s="5" t="s">
        <v>1508</v>
      </c>
      <c r="W546" s="5" t="s">
        <v>1508</v>
      </c>
      <c r="X546" s="5" t="s">
        <v>1509</v>
      </c>
      <c r="Z546" s="5">
        <v>10.0</v>
      </c>
      <c r="AB546" s="5">
        <v>0.0</v>
      </c>
      <c r="AC546" s="5" t="s">
        <v>1546</v>
      </c>
      <c r="AD546" s="5" t="s">
        <v>1558</v>
      </c>
      <c r="AE546" s="5">
        <v>4003.0</v>
      </c>
      <c r="AF546" s="36">
        <v>46060.272203900466</v>
      </c>
      <c r="AG546" s="5" t="s">
        <v>2200</v>
      </c>
    </row>
    <row r="547" ht="22.5" hidden="1" customHeight="1">
      <c r="A547" s="5" t="s">
        <v>2215</v>
      </c>
      <c r="B547" s="5" t="s">
        <v>1506</v>
      </c>
      <c r="C547" s="5" t="s">
        <v>1096</v>
      </c>
      <c r="D547" s="5" t="s">
        <v>14</v>
      </c>
      <c r="E547" s="5">
        <v>9.841451852E9</v>
      </c>
      <c r="F547" s="5" t="s">
        <v>1097</v>
      </c>
      <c r="H547" s="35">
        <v>33708.0</v>
      </c>
      <c r="I547" s="5" t="s">
        <v>156</v>
      </c>
      <c r="J547" s="5" t="s">
        <v>42</v>
      </c>
      <c r="K547" s="5" t="b">
        <v>0</v>
      </c>
      <c r="L547" s="5" t="b">
        <v>0</v>
      </c>
      <c r="N547" s="5">
        <v>7500.0</v>
      </c>
      <c r="O547" s="5">
        <v>0.0</v>
      </c>
      <c r="P547" s="5">
        <v>0.0</v>
      </c>
      <c r="R547" s="5" t="b">
        <v>0</v>
      </c>
      <c r="U547" s="5" t="s">
        <v>1517</v>
      </c>
      <c r="V547" s="5" t="s">
        <v>1508</v>
      </c>
      <c r="W547" s="5" t="s">
        <v>1508</v>
      </c>
      <c r="X547" s="5" t="s">
        <v>1509</v>
      </c>
      <c r="Z547" s="5">
        <v>7500.0</v>
      </c>
      <c r="AB547" s="5">
        <v>0.0</v>
      </c>
      <c r="AC547" s="5" t="s">
        <v>1510</v>
      </c>
      <c r="AD547" s="5" t="s">
        <v>1511</v>
      </c>
      <c r="AE547" s="5">
        <v>2046.0</v>
      </c>
      <c r="AF547" s="36">
        <v>46060.27220146991</v>
      </c>
      <c r="AG547" s="5" t="s">
        <v>2200</v>
      </c>
    </row>
    <row r="548" ht="22.5" hidden="1" customHeight="1">
      <c r="A548" s="5" t="s">
        <v>2216</v>
      </c>
      <c r="B548" s="5" t="s">
        <v>1506</v>
      </c>
      <c r="C548" s="5" t="s">
        <v>1205</v>
      </c>
      <c r="D548" s="5" t="s">
        <v>1206</v>
      </c>
      <c r="E548" s="5">
        <v>9.85104967E9</v>
      </c>
      <c r="F548" s="5" t="s">
        <v>1207</v>
      </c>
      <c r="G548" s="5">
        <v>2233523.0</v>
      </c>
      <c r="H548" s="35">
        <v>27739.0</v>
      </c>
      <c r="I548" s="5" t="s">
        <v>16</v>
      </c>
      <c r="J548" s="5" t="s">
        <v>36</v>
      </c>
      <c r="K548" s="5" t="b">
        <v>0</v>
      </c>
      <c r="L548" s="5" t="b">
        <v>0</v>
      </c>
      <c r="N548" s="5">
        <v>150.0</v>
      </c>
      <c r="O548" s="5">
        <v>0.0</v>
      </c>
      <c r="P548" s="5">
        <v>0.0</v>
      </c>
      <c r="R548" s="5" t="b">
        <v>0</v>
      </c>
      <c r="U548" s="5" t="s">
        <v>1517</v>
      </c>
      <c r="V548" s="5" t="s">
        <v>1508</v>
      </c>
      <c r="W548" s="5" t="s">
        <v>1508</v>
      </c>
      <c r="X548" s="5" t="s">
        <v>1509</v>
      </c>
      <c r="Z548" s="5">
        <v>150.0</v>
      </c>
      <c r="AB548" s="5">
        <v>0.0</v>
      </c>
      <c r="AC548" s="5" t="s">
        <v>1546</v>
      </c>
      <c r="AD548" s="5" t="s">
        <v>1558</v>
      </c>
      <c r="AE548" s="5">
        <v>1028.0</v>
      </c>
      <c r="AF548" s="36">
        <v>46060.272198819446</v>
      </c>
      <c r="AG548" s="5" t="s">
        <v>2200</v>
      </c>
    </row>
    <row r="549" ht="22.5" hidden="1" customHeight="1">
      <c r="A549" s="5" t="s">
        <v>2217</v>
      </c>
      <c r="B549" s="5" t="s">
        <v>1506</v>
      </c>
      <c r="C549" s="5" t="s">
        <v>1342</v>
      </c>
      <c r="D549" s="5" t="s">
        <v>366</v>
      </c>
      <c r="E549" s="5" t="s">
        <v>1343</v>
      </c>
      <c r="F549" s="5" t="s">
        <v>1344</v>
      </c>
      <c r="G549" s="5">
        <v>6352789.0</v>
      </c>
      <c r="H549" s="35">
        <v>29691.0</v>
      </c>
      <c r="I549" s="5" t="s">
        <v>156</v>
      </c>
      <c r="J549" s="5" t="s">
        <v>36</v>
      </c>
      <c r="K549" s="5" t="b">
        <v>0</v>
      </c>
      <c r="L549" s="5" t="b">
        <v>0</v>
      </c>
      <c r="N549" s="5">
        <v>150.0</v>
      </c>
      <c r="O549" s="5">
        <v>0.0</v>
      </c>
      <c r="P549" s="5">
        <v>0.0</v>
      </c>
      <c r="R549" s="5" t="b">
        <v>0</v>
      </c>
      <c r="U549" s="5" t="s">
        <v>1519</v>
      </c>
      <c r="V549" s="5" t="s">
        <v>1508</v>
      </c>
      <c r="W549" s="5" t="s">
        <v>1508</v>
      </c>
      <c r="X549" s="5" t="s">
        <v>1509</v>
      </c>
      <c r="Z549" s="5">
        <v>150.0</v>
      </c>
      <c r="AB549" s="5">
        <v>0.0</v>
      </c>
      <c r="AC549" s="5" t="s">
        <v>1546</v>
      </c>
      <c r="AD549" s="5" t="s">
        <v>1558</v>
      </c>
      <c r="AE549" s="5">
        <v>1029.0</v>
      </c>
      <c r="AF549" s="36">
        <v>46060.27219635417</v>
      </c>
      <c r="AG549" s="5" t="s">
        <v>2200</v>
      </c>
    </row>
    <row r="550" ht="22.5" hidden="1" customHeight="1">
      <c r="A550" s="5" t="s">
        <v>2218</v>
      </c>
      <c r="B550" s="5" t="s">
        <v>1506</v>
      </c>
      <c r="C550" s="5" t="s">
        <v>2219</v>
      </c>
      <c r="D550" s="5" t="s">
        <v>938</v>
      </c>
      <c r="E550" s="25" t="s">
        <v>1372</v>
      </c>
      <c r="F550" s="5" t="s">
        <v>1373</v>
      </c>
      <c r="G550" s="5">
        <v>4555371.0</v>
      </c>
      <c r="H550" s="35">
        <v>31001.0</v>
      </c>
      <c r="I550" s="5" t="s">
        <v>156</v>
      </c>
      <c r="J550" s="5" t="s">
        <v>36</v>
      </c>
      <c r="K550" s="5" t="b">
        <v>0</v>
      </c>
      <c r="L550" s="5" t="b">
        <v>0</v>
      </c>
      <c r="N550" s="5">
        <v>0.0</v>
      </c>
      <c r="O550" s="5">
        <v>0.0</v>
      </c>
      <c r="P550" s="5">
        <v>0.0</v>
      </c>
      <c r="R550" s="5" t="b">
        <v>0</v>
      </c>
      <c r="U550" s="5" t="s">
        <v>1517</v>
      </c>
      <c r="V550" s="5" t="s">
        <v>1508</v>
      </c>
      <c r="W550" s="5" t="s">
        <v>1508</v>
      </c>
      <c r="X550" s="5" t="s">
        <v>1509</v>
      </c>
      <c r="Z550" s="5">
        <v>12000.0</v>
      </c>
      <c r="AB550" s="5">
        <v>0.0</v>
      </c>
      <c r="AC550" s="5" t="s">
        <v>1546</v>
      </c>
      <c r="AE550" s="5">
        <v>1001.0</v>
      </c>
      <c r="AF550" s="36">
        <v>46060.272193888886</v>
      </c>
      <c r="AG550" s="5" t="s">
        <v>2200</v>
      </c>
    </row>
    <row r="551" ht="22.5" hidden="1" customHeight="1">
      <c r="A551" s="5" t="s">
        <v>2220</v>
      </c>
      <c r="B551" s="5" t="s">
        <v>1506</v>
      </c>
      <c r="C551" s="5" t="s">
        <v>1098</v>
      </c>
      <c r="D551" s="5" t="s">
        <v>14</v>
      </c>
      <c r="E551" s="5">
        <v>9.851164779E9</v>
      </c>
      <c r="F551" s="5" t="s">
        <v>1099</v>
      </c>
      <c r="G551" s="5">
        <v>5415438.0</v>
      </c>
      <c r="H551" s="35">
        <v>31101.0</v>
      </c>
      <c r="I551" s="5" t="s">
        <v>156</v>
      </c>
      <c r="J551" s="5" t="s">
        <v>42</v>
      </c>
      <c r="K551" s="5" t="b">
        <v>0</v>
      </c>
      <c r="L551" s="5" t="b">
        <v>0</v>
      </c>
      <c r="N551" s="5">
        <v>7500.0</v>
      </c>
      <c r="O551" s="5">
        <v>0.0</v>
      </c>
      <c r="P551" s="5">
        <v>0.0</v>
      </c>
      <c r="R551" s="5" t="b">
        <v>0</v>
      </c>
      <c r="U551" s="5" t="s">
        <v>1519</v>
      </c>
      <c r="V551" s="5" t="s">
        <v>1508</v>
      </c>
      <c r="W551" s="5" t="s">
        <v>1508</v>
      </c>
      <c r="X551" s="5" t="s">
        <v>1509</v>
      </c>
      <c r="Z551" s="5">
        <v>7500.0</v>
      </c>
      <c r="AB551" s="5">
        <v>0.0</v>
      </c>
      <c r="AC551" s="5" t="s">
        <v>1510</v>
      </c>
      <c r="AD551" s="5" t="s">
        <v>1511</v>
      </c>
      <c r="AE551" s="5">
        <v>2141.0</v>
      </c>
      <c r="AF551" s="36">
        <v>46060.27219142361</v>
      </c>
      <c r="AG551" s="5" t="s">
        <v>2200</v>
      </c>
    </row>
    <row r="552" ht="22.5" hidden="1" customHeight="1">
      <c r="A552" s="5" t="s">
        <v>2221</v>
      </c>
      <c r="B552" s="5" t="s">
        <v>1506</v>
      </c>
      <c r="C552" s="5" t="s">
        <v>1221</v>
      </c>
      <c r="D552" s="5" t="s">
        <v>151</v>
      </c>
      <c r="E552" s="25" t="s">
        <v>1222</v>
      </c>
      <c r="F552" s="5" t="s">
        <v>863</v>
      </c>
      <c r="G552" s="5">
        <v>2433989.0</v>
      </c>
      <c r="H552" s="35">
        <v>29111.0</v>
      </c>
      <c r="I552" s="5" t="s">
        <v>16</v>
      </c>
      <c r="J552" s="5" t="s">
        <v>36</v>
      </c>
      <c r="K552" s="5" t="b">
        <v>0</v>
      </c>
      <c r="L552" s="5" t="b">
        <v>0</v>
      </c>
      <c r="N552" s="5">
        <v>150.0</v>
      </c>
      <c r="O552" s="5">
        <v>0.0</v>
      </c>
      <c r="P552" s="5">
        <v>0.0</v>
      </c>
      <c r="R552" s="5" t="b">
        <v>0</v>
      </c>
      <c r="U552" s="5" t="s">
        <v>1507</v>
      </c>
      <c r="V552" s="5" t="s">
        <v>1508</v>
      </c>
      <c r="W552" s="5" t="s">
        <v>1508</v>
      </c>
      <c r="X552" s="5" t="s">
        <v>1509</v>
      </c>
      <c r="Z552" s="5">
        <v>150.0</v>
      </c>
      <c r="AB552" s="5">
        <v>0.0</v>
      </c>
      <c r="AC552" s="5" t="s">
        <v>1546</v>
      </c>
      <c r="AD552" s="5" t="s">
        <v>1558</v>
      </c>
      <c r="AE552" s="5">
        <v>1027.0</v>
      </c>
      <c r="AF552" s="36">
        <v>46060.27218898148</v>
      </c>
      <c r="AG552" s="5" t="s">
        <v>2200</v>
      </c>
    </row>
    <row r="553" ht="22.5" hidden="1" customHeight="1">
      <c r="A553" s="5" t="s">
        <v>2222</v>
      </c>
      <c r="B553" s="5" t="s">
        <v>1506</v>
      </c>
      <c r="C553" s="5" t="s">
        <v>985</v>
      </c>
      <c r="D553" s="5" t="s">
        <v>14</v>
      </c>
      <c r="E553" s="5">
        <v>9.841496701E9</v>
      </c>
      <c r="F553" s="5" t="s">
        <v>2223</v>
      </c>
      <c r="H553" s="35">
        <v>34720.0</v>
      </c>
      <c r="I553" s="5" t="s">
        <v>156</v>
      </c>
      <c r="J553" s="5" t="s">
        <v>46</v>
      </c>
      <c r="K553" s="5" t="b">
        <v>0</v>
      </c>
      <c r="L553" s="5" t="b">
        <v>0</v>
      </c>
      <c r="N553" s="5">
        <v>9000.0</v>
      </c>
      <c r="O553" s="5">
        <v>0.0</v>
      </c>
      <c r="P553" s="5">
        <v>0.0</v>
      </c>
      <c r="R553" s="5" t="b">
        <v>0</v>
      </c>
      <c r="U553" s="5" t="s">
        <v>1519</v>
      </c>
      <c r="V553" s="5" t="s">
        <v>1508</v>
      </c>
      <c r="W553" s="5" t="s">
        <v>1508</v>
      </c>
      <c r="X553" s="5" t="s">
        <v>1509</v>
      </c>
      <c r="Z553" s="5">
        <v>9000.0</v>
      </c>
      <c r="AB553" s="5">
        <v>0.0</v>
      </c>
      <c r="AC553" s="5" t="s">
        <v>1510</v>
      </c>
      <c r="AD553" s="5" t="s">
        <v>1511</v>
      </c>
      <c r="AE553" s="5">
        <v>1544.0</v>
      </c>
      <c r="AF553" s="36">
        <v>46060.272185856484</v>
      </c>
      <c r="AG553" s="5" t="s">
        <v>2200</v>
      </c>
    </row>
    <row r="554" ht="22.5" hidden="1" customHeight="1">
      <c r="A554" s="5" t="s">
        <v>2224</v>
      </c>
      <c r="B554" s="5" t="s">
        <v>1506</v>
      </c>
      <c r="C554" s="5" t="s">
        <v>1325</v>
      </c>
      <c r="D554" s="5" t="s">
        <v>137</v>
      </c>
      <c r="E554" s="25" t="s">
        <v>1326</v>
      </c>
      <c r="F554" s="5" t="s">
        <v>1327</v>
      </c>
      <c r="G554" s="5">
        <v>415.0</v>
      </c>
      <c r="H554" s="35">
        <v>36585.0</v>
      </c>
      <c r="I554" s="5" t="s">
        <v>156</v>
      </c>
      <c r="J554" s="5" t="s">
        <v>36</v>
      </c>
      <c r="K554" s="5" t="b">
        <v>0</v>
      </c>
      <c r="L554" s="5" t="b">
        <v>0</v>
      </c>
      <c r="N554" s="5">
        <v>150.0</v>
      </c>
      <c r="O554" s="5">
        <v>0.0</v>
      </c>
      <c r="P554" s="5">
        <v>0.0</v>
      </c>
      <c r="R554" s="5" t="b">
        <v>0</v>
      </c>
      <c r="U554" s="5" t="s">
        <v>1519</v>
      </c>
      <c r="V554" s="5" t="s">
        <v>1508</v>
      </c>
      <c r="W554" s="5" t="s">
        <v>1508</v>
      </c>
      <c r="X554" s="5" t="s">
        <v>1509</v>
      </c>
      <c r="Z554" s="5">
        <v>150.0</v>
      </c>
      <c r="AB554" s="5">
        <v>0.0</v>
      </c>
      <c r="AC554" s="5" t="s">
        <v>1546</v>
      </c>
      <c r="AD554" s="5" t="s">
        <v>1558</v>
      </c>
      <c r="AE554" s="5">
        <v>1023.0</v>
      </c>
      <c r="AF554" s="36">
        <v>46060.27216925926</v>
      </c>
      <c r="AG554" s="5" t="s">
        <v>2200</v>
      </c>
    </row>
    <row r="555" ht="22.5" hidden="1" customHeight="1">
      <c r="A555" s="5" t="s">
        <v>2225</v>
      </c>
      <c r="B555" s="5" t="s">
        <v>1506</v>
      </c>
      <c r="C555" s="5" t="s">
        <v>2226</v>
      </c>
      <c r="D555" s="5" t="s">
        <v>904</v>
      </c>
      <c r="E555" s="25" t="s">
        <v>1309</v>
      </c>
      <c r="F555" s="5" t="s">
        <v>1310</v>
      </c>
      <c r="H555" s="35">
        <v>34482.0</v>
      </c>
      <c r="I555" s="5" t="s">
        <v>156</v>
      </c>
      <c r="J555" s="5" t="s">
        <v>36</v>
      </c>
      <c r="K555" s="5" t="b">
        <v>0</v>
      </c>
      <c r="L555" s="5" t="b">
        <v>0</v>
      </c>
      <c r="N555" s="5">
        <v>150.0</v>
      </c>
      <c r="O555" s="5">
        <v>0.0</v>
      </c>
      <c r="P555" s="5">
        <v>0.0</v>
      </c>
      <c r="R555" s="5" t="b">
        <v>0</v>
      </c>
      <c r="U555" s="5" t="s">
        <v>1519</v>
      </c>
      <c r="V555" s="5" t="s">
        <v>1508</v>
      </c>
      <c r="W555" s="5" t="s">
        <v>1508</v>
      </c>
      <c r="X555" s="5" t="s">
        <v>1509</v>
      </c>
      <c r="Z555" s="5">
        <v>150.0</v>
      </c>
      <c r="AB555" s="5">
        <v>0.0</v>
      </c>
      <c r="AC555" s="5" t="s">
        <v>1546</v>
      </c>
      <c r="AD555" s="5" t="s">
        <v>1558</v>
      </c>
      <c r="AE555" s="5">
        <v>1024.0</v>
      </c>
      <c r="AF555" s="36">
        <v>46060.272161168985</v>
      </c>
      <c r="AG555" s="5" t="s">
        <v>2200</v>
      </c>
    </row>
    <row r="556" ht="22.5" hidden="1" customHeight="1">
      <c r="A556" s="5" t="s">
        <v>2227</v>
      </c>
      <c r="B556" s="5" t="s">
        <v>1506</v>
      </c>
      <c r="C556" s="5" t="s">
        <v>1119</v>
      </c>
      <c r="D556" s="5" t="s">
        <v>904</v>
      </c>
      <c r="E556" s="25" t="s">
        <v>1120</v>
      </c>
      <c r="F556" s="5" t="s">
        <v>1121</v>
      </c>
      <c r="G556" s="5" t="s">
        <v>1122</v>
      </c>
      <c r="H556" s="35">
        <v>33976.0</v>
      </c>
      <c r="I556" s="5" t="s">
        <v>156</v>
      </c>
      <c r="J556" s="5" t="s">
        <v>42</v>
      </c>
      <c r="K556" s="5" t="b">
        <v>0</v>
      </c>
      <c r="L556" s="5" t="b">
        <v>0</v>
      </c>
      <c r="N556" s="5">
        <v>80.0</v>
      </c>
      <c r="O556" s="5">
        <v>0.0</v>
      </c>
      <c r="P556" s="5">
        <v>0.0</v>
      </c>
      <c r="R556" s="5" t="b">
        <v>0</v>
      </c>
      <c r="U556" s="5" t="s">
        <v>1519</v>
      </c>
      <c r="V556" s="5" t="s">
        <v>1508</v>
      </c>
      <c r="W556" s="5" t="s">
        <v>1508</v>
      </c>
      <c r="X556" s="5" t="s">
        <v>1509</v>
      </c>
      <c r="Z556" s="5">
        <v>80.0</v>
      </c>
      <c r="AB556" s="5">
        <v>0.0</v>
      </c>
      <c r="AC556" s="5" t="s">
        <v>1546</v>
      </c>
      <c r="AD556" s="5" t="s">
        <v>1558</v>
      </c>
      <c r="AE556" s="5">
        <v>2023.0</v>
      </c>
      <c r="AF556" s="36">
        <v>46060.27215863426</v>
      </c>
      <c r="AG556" s="5" t="s">
        <v>2200</v>
      </c>
    </row>
    <row r="557" ht="22.5" hidden="1" customHeight="1">
      <c r="A557" s="5" t="s">
        <v>2228</v>
      </c>
      <c r="B557" s="5" t="s">
        <v>1506</v>
      </c>
      <c r="C557" s="5" t="s">
        <v>1142</v>
      </c>
      <c r="D557" s="5" t="s">
        <v>366</v>
      </c>
      <c r="E557" s="25" t="s">
        <v>1143</v>
      </c>
      <c r="F557" s="5" t="s">
        <v>1144</v>
      </c>
      <c r="G557" s="5">
        <v>4362352.0</v>
      </c>
      <c r="H557" s="35">
        <v>27694.0</v>
      </c>
      <c r="I557" s="5" t="s">
        <v>156</v>
      </c>
      <c r="J557" s="5" t="s">
        <v>42</v>
      </c>
      <c r="K557" s="5" t="b">
        <v>0</v>
      </c>
      <c r="L557" s="5" t="b">
        <v>0</v>
      </c>
      <c r="N557" s="5">
        <v>80.0</v>
      </c>
      <c r="O557" s="5">
        <v>0.0</v>
      </c>
      <c r="P557" s="5">
        <v>0.0</v>
      </c>
      <c r="R557" s="5" t="b">
        <v>0</v>
      </c>
      <c r="U557" s="5" t="s">
        <v>1517</v>
      </c>
      <c r="V557" s="5" t="s">
        <v>1508</v>
      </c>
      <c r="W557" s="5" t="s">
        <v>1508</v>
      </c>
      <c r="X557" s="5" t="s">
        <v>1509</v>
      </c>
      <c r="Z557" s="5">
        <v>80.0</v>
      </c>
      <c r="AB557" s="5">
        <v>0.0</v>
      </c>
      <c r="AC557" s="5" t="s">
        <v>1546</v>
      </c>
      <c r="AD557" s="5" t="s">
        <v>1558</v>
      </c>
      <c r="AE557" s="5">
        <v>2022.0</v>
      </c>
      <c r="AF557" s="36">
        <v>46060.27215287037</v>
      </c>
      <c r="AG557" s="5" t="s">
        <v>2200</v>
      </c>
    </row>
    <row r="558" ht="22.5" hidden="1" customHeight="1">
      <c r="A558" s="5" t="s">
        <v>2229</v>
      </c>
      <c r="B558" s="5" t="s">
        <v>1506</v>
      </c>
      <c r="C558" s="5" t="s">
        <v>2230</v>
      </c>
      <c r="D558" s="5" t="s">
        <v>904</v>
      </c>
      <c r="E558" s="25" t="s">
        <v>1442</v>
      </c>
      <c r="F558" s="5" t="s">
        <v>1443</v>
      </c>
      <c r="G558" s="5">
        <v>7045322.0</v>
      </c>
      <c r="H558" s="35">
        <v>28851.0</v>
      </c>
      <c r="I558" s="5" t="s">
        <v>156</v>
      </c>
      <c r="J558" s="5" t="s">
        <v>46</v>
      </c>
      <c r="K558" s="5" t="b">
        <v>0</v>
      </c>
      <c r="L558" s="5" t="b">
        <v>0</v>
      </c>
      <c r="N558" s="5">
        <v>120.0</v>
      </c>
      <c r="O558" s="5">
        <v>0.0</v>
      </c>
      <c r="P558" s="5">
        <v>0.0</v>
      </c>
      <c r="R558" s="5" t="b">
        <v>0</v>
      </c>
      <c r="U558" s="5" t="s">
        <v>1517</v>
      </c>
      <c r="V558" s="5" t="s">
        <v>1508</v>
      </c>
      <c r="W558" s="5" t="s">
        <v>1508</v>
      </c>
      <c r="X558" s="5" t="s">
        <v>1509</v>
      </c>
      <c r="Z558" s="5">
        <v>120.0</v>
      </c>
      <c r="AB558" s="5">
        <v>0.0</v>
      </c>
      <c r="AC558" s="5" t="s">
        <v>1546</v>
      </c>
      <c r="AD558" s="5" t="s">
        <v>1558</v>
      </c>
      <c r="AE558" s="5">
        <v>1508.0</v>
      </c>
      <c r="AF558" s="36">
        <v>46060.272142800924</v>
      </c>
      <c r="AG558" s="5" t="s">
        <v>2200</v>
      </c>
    </row>
    <row r="559" ht="22.5" hidden="1" customHeight="1">
      <c r="A559" s="5" t="s">
        <v>2231</v>
      </c>
      <c r="B559" s="5" t="s">
        <v>1506</v>
      </c>
      <c r="C559" s="5" t="s">
        <v>1436</v>
      </c>
      <c r="D559" s="5" t="s">
        <v>14</v>
      </c>
      <c r="E559" s="5">
        <v>9.804382464E9</v>
      </c>
      <c r="F559" s="5" t="s">
        <v>1437</v>
      </c>
      <c r="H559" s="35">
        <v>39005.0</v>
      </c>
      <c r="I559" s="5" t="s">
        <v>156</v>
      </c>
      <c r="J559" s="5" t="s">
        <v>46</v>
      </c>
      <c r="K559" s="5" t="b">
        <v>0</v>
      </c>
      <c r="L559" s="5" t="b">
        <v>0</v>
      </c>
      <c r="N559" s="5">
        <v>9000.0</v>
      </c>
      <c r="O559" s="5">
        <v>0.0</v>
      </c>
      <c r="P559" s="5">
        <v>0.0</v>
      </c>
      <c r="R559" s="5" t="b">
        <v>0</v>
      </c>
      <c r="U559" s="5" t="s">
        <v>1519</v>
      </c>
      <c r="V559" s="5" t="s">
        <v>1508</v>
      </c>
      <c r="W559" s="5" t="s">
        <v>1508</v>
      </c>
      <c r="X559" s="5" t="s">
        <v>1509</v>
      </c>
      <c r="Z559" s="5">
        <v>9000.0</v>
      </c>
      <c r="AB559" s="5">
        <v>0.0</v>
      </c>
      <c r="AC559" s="5" t="s">
        <v>1510</v>
      </c>
      <c r="AD559" s="5" t="s">
        <v>1511</v>
      </c>
      <c r="AE559" s="5">
        <v>1543.0</v>
      </c>
      <c r="AF559" s="36">
        <v>46060.272140381945</v>
      </c>
      <c r="AG559" s="5" t="s">
        <v>2200</v>
      </c>
    </row>
    <row r="560" ht="22.5" hidden="1" customHeight="1">
      <c r="A560" s="5" t="s">
        <v>2232</v>
      </c>
      <c r="B560" s="5" t="s">
        <v>1506</v>
      </c>
      <c r="C560" s="5" t="s">
        <v>1311</v>
      </c>
      <c r="D560" s="5" t="s">
        <v>904</v>
      </c>
      <c r="E560" s="25" t="s">
        <v>2233</v>
      </c>
      <c r="F560" s="5" t="s">
        <v>1312</v>
      </c>
      <c r="H560" s="35">
        <v>39476.0</v>
      </c>
      <c r="I560" s="5" t="s">
        <v>156</v>
      </c>
      <c r="J560" s="5" t="s">
        <v>36</v>
      </c>
      <c r="K560" s="5" t="b">
        <v>0</v>
      </c>
      <c r="L560" s="5" t="b">
        <v>0</v>
      </c>
      <c r="N560" s="5">
        <v>150.0</v>
      </c>
      <c r="O560" s="5">
        <v>0.0</v>
      </c>
      <c r="P560" s="5">
        <v>0.0</v>
      </c>
      <c r="R560" s="5" t="b">
        <v>0</v>
      </c>
      <c r="U560" s="5" t="s">
        <v>1519</v>
      </c>
      <c r="V560" s="5" t="s">
        <v>1508</v>
      </c>
      <c r="W560" s="5" t="s">
        <v>1508</v>
      </c>
      <c r="X560" s="5" t="s">
        <v>1509</v>
      </c>
      <c r="Z560" s="5">
        <v>150.0</v>
      </c>
      <c r="AB560" s="5">
        <v>0.0</v>
      </c>
      <c r="AC560" s="5" t="s">
        <v>1546</v>
      </c>
      <c r="AD560" s="5" t="s">
        <v>1558</v>
      </c>
      <c r="AE560" s="5">
        <v>1026.0</v>
      </c>
      <c r="AF560" s="36">
        <v>46060.27213747685</v>
      </c>
      <c r="AG560" s="5" t="s">
        <v>2200</v>
      </c>
    </row>
    <row r="561" ht="22.5" hidden="1" customHeight="1">
      <c r="A561" s="5" t="s">
        <v>2234</v>
      </c>
      <c r="B561" s="5" t="s">
        <v>1506</v>
      </c>
      <c r="C561" s="5" t="s">
        <v>1361</v>
      </c>
      <c r="D561" s="5" t="s">
        <v>938</v>
      </c>
      <c r="E561" s="5">
        <v>8.19095682586E11</v>
      </c>
      <c r="F561" s="5" t="s">
        <v>1362</v>
      </c>
      <c r="G561" s="5">
        <v>1782351.0</v>
      </c>
      <c r="H561" s="35">
        <v>28811.0</v>
      </c>
      <c r="I561" s="5" t="s">
        <v>156</v>
      </c>
      <c r="J561" s="5" t="s">
        <v>36</v>
      </c>
      <c r="K561" s="5" t="b">
        <v>0</v>
      </c>
      <c r="L561" s="5" t="b">
        <v>0</v>
      </c>
      <c r="N561" s="5">
        <v>150.0</v>
      </c>
      <c r="O561" s="5">
        <v>0.0</v>
      </c>
      <c r="P561" s="5">
        <v>0.0</v>
      </c>
      <c r="R561" s="5" t="b">
        <v>0</v>
      </c>
      <c r="U561" s="5" t="s">
        <v>1519</v>
      </c>
      <c r="V561" s="5" t="s">
        <v>1508</v>
      </c>
      <c r="W561" s="5" t="s">
        <v>1508</v>
      </c>
      <c r="X561" s="5" t="s">
        <v>1509</v>
      </c>
      <c r="Z561" s="5">
        <v>150.0</v>
      </c>
      <c r="AB561" s="5">
        <v>0.0</v>
      </c>
      <c r="AC561" s="5" t="s">
        <v>1546</v>
      </c>
      <c r="AD561" s="5" t="s">
        <v>1558</v>
      </c>
      <c r="AE561" s="5">
        <v>1022.0</v>
      </c>
      <c r="AF561" s="36">
        <v>46060.27213493056</v>
      </c>
      <c r="AG561" s="5" t="s">
        <v>2200</v>
      </c>
    </row>
    <row r="562" ht="22.5" hidden="1" customHeight="1">
      <c r="A562" s="5" t="s">
        <v>2235</v>
      </c>
      <c r="B562" s="5" t="s">
        <v>1506</v>
      </c>
      <c r="C562" s="5" t="s">
        <v>1214</v>
      </c>
      <c r="D562" s="5" t="s">
        <v>938</v>
      </c>
      <c r="E562" s="25" t="s">
        <v>1215</v>
      </c>
      <c r="F562" s="5" t="s">
        <v>1216</v>
      </c>
      <c r="G562" s="5">
        <v>402635.0</v>
      </c>
      <c r="H562" s="35">
        <v>28961.0</v>
      </c>
      <c r="I562" s="5" t="s">
        <v>16</v>
      </c>
      <c r="J562" s="5" t="s">
        <v>36</v>
      </c>
      <c r="K562" s="5" t="b">
        <v>0</v>
      </c>
      <c r="L562" s="5" t="b">
        <v>0</v>
      </c>
      <c r="N562" s="5">
        <v>150.0</v>
      </c>
      <c r="O562" s="5">
        <v>0.0</v>
      </c>
      <c r="P562" s="5">
        <v>0.0</v>
      </c>
      <c r="R562" s="5" t="b">
        <v>0</v>
      </c>
      <c r="U562" s="5" t="s">
        <v>1507</v>
      </c>
      <c r="V562" s="5" t="s">
        <v>1508</v>
      </c>
      <c r="W562" s="5" t="s">
        <v>1508</v>
      </c>
      <c r="X562" s="5" t="s">
        <v>1509</v>
      </c>
      <c r="Z562" s="5">
        <v>150.0</v>
      </c>
      <c r="AB562" s="5">
        <v>0.0</v>
      </c>
      <c r="AC562" s="5" t="s">
        <v>1546</v>
      </c>
      <c r="AD562" s="5" t="s">
        <v>1558</v>
      </c>
      <c r="AE562" s="5">
        <v>1021.0</v>
      </c>
      <c r="AF562" s="36">
        <v>46060.27213251157</v>
      </c>
      <c r="AG562" s="5" t="s">
        <v>2200</v>
      </c>
    </row>
    <row r="563" ht="22.5" hidden="1" customHeight="1">
      <c r="A563" s="5" t="s">
        <v>2236</v>
      </c>
      <c r="B563" s="5" t="s">
        <v>1506</v>
      </c>
      <c r="C563" s="5" t="s">
        <v>1100</v>
      </c>
      <c r="D563" s="5" t="s">
        <v>14</v>
      </c>
      <c r="E563" s="5">
        <v>9.818671492E9</v>
      </c>
      <c r="F563" s="5" t="s">
        <v>1101</v>
      </c>
      <c r="H563" s="35">
        <v>36778.0</v>
      </c>
      <c r="I563" s="5" t="s">
        <v>156</v>
      </c>
      <c r="J563" s="5" t="s">
        <v>42</v>
      </c>
      <c r="K563" s="5" t="b">
        <v>0</v>
      </c>
      <c r="L563" s="5" t="b">
        <v>0</v>
      </c>
      <c r="N563" s="5">
        <v>7500.0</v>
      </c>
      <c r="O563" s="5">
        <v>0.0</v>
      </c>
      <c r="P563" s="5">
        <v>0.0</v>
      </c>
      <c r="R563" s="5" t="b">
        <v>0</v>
      </c>
      <c r="U563" s="5" t="s">
        <v>1517</v>
      </c>
      <c r="V563" s="5" t="s">
        <v>1508</v>
      </c>
      <c r="W563" s="5" t="s">
        <v>1508</v>
      </c>
      <c r="X563" s="5" t="s">
        <v>1509</v>
      </c>
      <c r="Z563" s="5">
        <v>7500.0</v>
      </c>
      <c r="AB563" s="5">
        <v>0.0</v>
      </c>
      <c r="AC563" s="5" t="s">
        <v>1510</v>
      </c>
      <c r="AE563" s="5">
        <v>2087.0</v>
      </c>
      <c r="AF563" s="36">
        <v>46060.272129641206</v>
      </c>
      <c r="AG563" s="5" t="s">
        <v>2200</v>
      </c>
    </row>
    <row r="564" ht="22.5" hidden="1" customHeight="1">
      <c r="A564" s="5" t="s">
        <v>2237</v>
      </c>
      <c r="B564" s="5" t="s">
        <v>1506</v>
      </c>
      <c r="C564" s="5" t="s">
        <v>907</v>
      </c>
      <c r="D564" s="5" t="s">
        <v>904</v>
      </c>
      <c r="E564" s="25" t="s">
        <v>908</v>
      </c>
      <c r="F564" s="5" t="s">
        <v>909</v>
      </c>
      <c r="G564" s="5">
        <v>6985822.0</v>
      </c>
      <c r="H564" s="35">
        <v>31891.0</v>
      </c>
      <c r="I564" s="5" t="s">
        <v>16</v>
      </c>
      <c r="J564" s="5" t="s">
        <v>42</v>
      </c>
      <c r="K564" s="5" t="b">
        <v>0</v>
      </c>
      <c r="L564" s="5" t="b">
        <v>0</v>
      </c>
      <c r="N564" s="5">
        <v>80.0</v>
      </c>
      <c r="O564" s="5">
        <v>0.0</v>
      </c>
      <c r="P564" s="5">
        <v>0.0</v>
      </c>
      <c r="R564" s="5" t="b">
        <v>0</v>
      </c>
      <c r="U564" s="5" t="s">
        <v>1507</v>
      </c>
      <c r="V564" s="5" t="s">
        <v>1508</v>
      </c>
      <c r="W564" s="5" t="s">
        <v>1508</v>
      </c>
      <c r="X564" s="5" t="s">
        <v>1509</v>
      </c>
      <c r="Z564" s="5">
        <v>80.0</v>
      </c>
      <c r="AB564" s="5">
        <v>0.0</v>
      </c>
      <c r="AC564" s="5" t="s">
        <v>1546</v>
      </c>
      <c r="AD564" s="5" t="s">
        <v>1558</v>
      </c>
      <c r="AE564" s="5">
        <v>2020.0</v>
      </c>
      <c r="AF564" s="36">
        <v>46060.27212715278</v>
      </c>
      <c r="AG564" s="5" t="s">
        <v>2200</v>
      </c>
    </row>
    <row r="565" ht="22.5" hidden="1" customHeight="1">
      <c r="A565" s="5" t="s">
        <v>2238</v>
      </c>
      <c r="B565" s="5" t="s">
        <v>1506</v>
      </c>
      <c r="C565" s="5" t="s">
        <v>2239</v>
      </c>
      <c r="D565" s="5" t="s">
        <v>14</v>
      </c>
      <c r="E565" s="5">
        <v>9.855053896E9</v>
      </c>
      <c r="F565" s="5" t="s">
        <v>2240</v>
      </c>
      <c r="G565" s="5">
        <v>1136143.0</v>
      </c>
      <c r="H565" s="35">
        <v>33360.0</v>
      </c>
      <c r="I565" s="5" t="s">
        <v>156</v>
      </c>
      <c r="J565" s="5" t="s">
        <v>36</v>
      </c>
      <c r="K565" s="5" t="b">
        <v>0</v>
      </c>
      <c r="L565" s="5" t="b">
        <v>0</v>
      </c>
      <c r="N565" s="5">
        <v>12000.0</v>
      </c>
      <c r="O565" s="5">
        <v>0.0</v>
      </c>
      <c r="P565" s="5">
        <v>0.0</v>
      </c>
      <c r="R565" s="5" t="b">
        <v>0</v>
      </c>
      <c r="U565" s="5" t="s">
        <v>1519</v>
      </c>
      <c r="V565" s="5" t="s">
        <v>1508</v>
      </c>
      <c r="W565" s="5" t="s">
        <v>1508</v>
      </c>
      <c r="X565" s="5" t="s">
        <v>1509</v>
      </c>
      <c r="Z565" s="5">
        <v>12000.0</v>
      </c>
      <c r="AB565" s="5">
        <v>0.0</v>
      </c>
      <c r="AC565" s="5" t="s">
        <v>1510</v>
      </c>
      <c r="AD565" s="5" t="s">
        <v>1511</v>
      </c>
      <c r="AE565" s="5">
        <v>1046.0</v>
      </c>
      <c r="AF565" s="36">
        <v>46060.27211895833</v>
      </c>
      <c r="AG565" s="5" t="s">
        <v>2200</v>
      </c>
    </row>
    <row r="566" ht="22.5" hidden="1" customHeight="1">
      <c r="A566" s="5" t="s">
        <v>2241</v>
      </c>
      <c r="B566" s="5" t="s">
        <v>1506</v>
      </c>
      <c r="C566" s="5" t="s">
        <v>1292</v>
      </c>
      <c r="D566" s="5" t="s">
        <v>14</v>
      </c>
      <c r="E566" s="5">
        <v>9.703149666E9</v>
      </c>
      <c r="F566" s="5" t="s">
        <v>1293</v>
      </c>
      <c r="G566" s="5">
        <v>5139309.0</v>
      </c>
      <c r="H566" s="35">
        <v>30259.0</v>
      </c>
      <c r="I566" s="5" t="s">
        <v>156</v>
      </c>
      <c r="J566" s="5" t="s">
        <v>36</v>
      </c>
      <c r="K566" s="5" t="b">
        <v>0</v>
      </c>
      <c r="L566" s="5" t="b">
        <v>0</v>
      </c>
      <c r="N566" s="5">
        <v>12000.0</v>
      </c>
      <c r="O566" s="5">
        <v>0.0</v>
      </c>
      <c r="P566" s="5">
        <v>0.0</v>
      </c>
      <c r="R566" s="5" t="b">
        <v>0</v>
      </c>
      <c r="U566" s="5" t="s">
        <v>1519</v>
      </c>
      <c r="V566" s="5" t="s">
        <v>1508</v>
      </c>
      <c r="W566" s="5" t="s">
        <v>1508</v>
      </c>
      <c r="X566" s="5" t="s">
        <v>1509</v>
      </c>
      <c r="Z566" s="5">
        <v>12000.0</v>
      </c>
      <c r="AB566" s="5">
        <v>0.0</v>
      </c>
      <c r="AC566" s="5" t="s">
        <v>1510</v>
      </c>
      <c r="AD566" s="5" t="s">
        <v>1511</v>
      </c>
      <c r="AE566" s="5">
        <v>1044.0</v>
      </c>
      <c r="AF566" s="36">
        <v>46060.27211641204</v>
      </c>
      <c r="AG566" s="5" t="s">
        <v>2200</v>
      </c>
    </row>
    <row r="567" ht="22.5" hidden="1" customHeight="1">
      <c r="A567" s="5" t="s">
        <v>2242</v>
      </c>
      <c r="B567" s="5" t="s">
        <v>1506</v>
      </c>
      <c r="C567" s="5" t="s">
        <v>1345</v>
      </c>
      <c r="D567" s="5" t="s">
        <v>366</v>
      </c>
      <c r="E567" s="25" t="s">
        <v>1346</v>
      </c>
      <c r="F567" s="5" t="s">
        <v>1347</v>
      </c>
      <c r="G567" s="5">
        <v>5923984.0</v>
      </c>
      <c r="H567" s="35">
        <v>35809.0</v>
      </c>
      <c r="I567" s="5" t="s">
        <v>156</v>
      </c>
      <c r="J567" s="5" t="s">
        <v>36</v>
      </c>
      <c r="K567" s="5" t="b">
        <v>0</v>
      </c>
      <c r="L567" s="5" t="b">
        <v>0</v>
      </c>
      <c r="N567" s="5">
        <v>150.0</v>
      </c>
      <c r="O567" s="5">
        <v>0.0</v>
      </c>
      <c r="P567" s="5">
        <v>0.0</v>
      </c>
      <c r="R567" s="5" t="b">
        <v>0</v>
      </c>
      <c r="U567" s="5" t="s">
        <v>1519</v>
      </c>
      <c r="V567" s="5" t="s">
        <v>1508</v>
      </c>
      <c r="W567" s="5" t="s">
        <v>1508</v>
      </c>
      <c r="X567" s="5" t="s">
        <v>1509</v>
      </c>
      <c r="Z567" s="5">
        <v>150.0</v>
      </c>
      <c r="AB567" s="5">
        <v>0.0</v>
      </c>
      <c r="AC567" s="5" t="s">
        <v>1546</v>
      </c>
      <c r="AD567" s="5" t="s">
        <v>1558</v>
      </c>
      <c r="AE567" s="5">
        <v>1025.0</v>
      </c>
      <c r="AF567" s="36">
        <v>46060.27210396991</v>
      </c>
      <c r="AG567" s="5" t="s">
        <v>2200</v>
      </c>
    </row>
    <row r="568" ht="22.5" hidden="1" customHeight="1">
      <c r="A568" s="5" t="s">
        <v>2243</v>
      </c>
      <c r="B568" s="5" t="s">
        <v>1506</v>
      </c>
      <c r="C568" s="5" t="s">
        <v>1102</v>
      </c>
      <c r="D568" s="5" t="s">
        <v>14</v>
      </c>
      <c r="E568" s="5">
        <v>9.841256989E9</v>
      </c>
      <c r="F568" s="5" t="s">
        <v>1103</v>
      </c>
      <c r="H568" s="35">
        <v>31288.0</v>
      </c>
      <c r="I568" s="5" t="s">
        <v>156</v>
      </c>
      <c r="J568" s="5" t="s">
        <v>42</v>
      </c>
      <c r="K568" s="5" t="b">
        <v>0</v>
      </c>
      <c r="L568" s="5" t="b">
        <v>0</v>
      </c>
      <c r="N568" s="5">
        <v>7500.0</v>
      </c>
      <c r="O568" s="5">
        <v>0.0</v>
      </c>
      <c r="P568" s="5">
        <v>0.0</v>
      </c>
      <c r="R568" s="5" t="b">
        <v>0</v>
      </c>
      <c r="U568" s="5" t="s">
        <v>1519</v>
      </c>
      <c r="V568" s="5" t="s">
        <v>1508</v>
      </c>
      <c r="W568" s="5" t="s">
        <v>1508</v>
      </c>
      <c r="X568" s="5" t="s">
        <v>1509</v>
      </c>
      <c r="Z568" s="5">
        <v>7500.0</v>
      </c>
      <c r="AB568" s="5">
        <v>0.0</v>
      </c>
      <c r="AC568" s="5" t="s">
        <v>1510</v>
      </c>
      <c r="AD568" s="5" t="s">
        <v>1558</v>
      </c>
      <c r="AE568" s="5">
        <v>2019.0</v>
      </c>
      <c r="AF568" s="36">
        <v>46060.272098298614</v>
      </c>
      <c r="AG568" s="5" t="s">
        <v>2200</v>
      </c>
    </row>
    <row r="569" ht="22.5" hidden="1" customHeight="1">
      <c r="A569" s="5" t="s">
        <v>2244</v>
      </c>
      <c r="B569" s="5" t="s">
        <v>1506</v>
      </c>
      <c r="C569" s="5" t="s">
        <v>1145</v>
      </c>
      <c r="D569" s="5" t="s">
        <v>938</v>
      </c>
      <c r="E569" s="25" t="s">
        <v>1146</v>
      </c>
      <c r="F569" s="5" t="s">
        <v>1147</v>
      </c>
      <c r="G569" s="5">
        <v>5608961.0</v>
      </c>
      <c r="H569" s="35">
        <v>34962.0</v>
      </c>
      <c r="I569" s="5" t="s">
        <v>156</v>
      </c>
      <c r="J569" s="5" t="s">
        <v>42</v>
      </c>
      <c r="K569" s="5" t="b">
        <v>0</v>
      </c>
      <c r="L569" s="5" t="b">
        <v>0</v>
      </c>
      <c r="N569" s="5">
        <v>80.0</v>
      </c>
      <c r="O569" s="5">
        <v>0.0</v>
      </c>
      <c r="P569" s="5">
        <v>0.0</v>
      </c>
      <c r="R569" s="5" t="b">
        <v>0</v>
      </c>
      <c r="U569" s="5" t="s">
        <v>1517</v>
      </c>
      <c r="V569" s="5" t="s">
        <v>1508</v>
      </c>
      <c r="W569" s="5" t="s">
        <v>1508</v>
      </c>
      <c r="X569" s="5" t="s">
        <v>1509</v>
      </c>
      <c r="Z569" s="5">
        <v>80.0</v>
      </c>
      <c r="AB569" s="5">
        <v>0.0</v>
      </c>
      <c r="AC569" s="5" t="s">
        <v>1546</v>
      </c>
      <c r="AD569" s="5" t="s">
        <v>1551</v>
      </c>
      <c r="AE569" s="5">
        <v>2008.0</v>
      </c>
      <c r="AF569" s="36">
        <v>46060.27209254629</v>
      </c>
      <c r="AG569" s="5" t="s">
        <v>2200</v>
      </c>
    </row>
    <row r="570" ht="22.5" customHeight="1">
      <c r="A570" s="5" t="s">
        <v>2245</v>
      </c>
      <c r="B570" s="5" t="s">
        <v>1506</v>
      </c>
      <c r="C570" s="5" t="s">
        <v>2246</v>
      </c>
      <c r="D570" s="5" t="s">
        <v>14</v>
      </c>
      <c r="E570" s="5">
        <v>9.840340174E9</v>
      </c>
      <c r="F570" s="5" t="s">
        <v>2247</v>
      </c>
      <c r="H570" s="35">
        <v>34044.0</v>
      </c>
      <c r="I570" s="5" t="s">
        <v>16</v>
      </c>
      <c r="J570" s="5" t="s">
        <v>17</v>
      </c>
      <c r="K570" s="5" t="b">
        <v>0</v>
      </c>
      <c r="L570" s="5" t="b">
        <v>0</v>
      </c>
      <c r="N570" s="5">
        <v>1500.0</v>
      </c>
      <c r="O570" s="5">
        <v>0.0</v>
      </c>
      <c r="P570" s="5">
        <v>0.0</v>
      </c>
      <c r="R570" s="5" t="b">
        <v>0</v>
      </c>
      <c r="U570" s="5" t="s">
        <v>1517</v>
      </c>
      <c r="V570" s="5" t="s">
        <v>1508</v>
      </c>
      <c r="W570" s="5" t="s">
        <v>1508</v>
      </c>
      <c r="X570" s="5" t="s">
        <v>1509</v>
      </c>
      <c r="Z570" s="5">
        <v>1500.0</v>
      </c>
      <c r="AB570" s="5">
        <v>0.0</v>
      </c>
      <c r="AC570" s="5" t="s">
        <v>1510</v>
      </c>
      <c r="AD570" s="5" t="s">
        <v>1558</v>
      </c>
      <c r="AE570" s="5">
        <v>4002.0</v>
      </c>
      <c r="AF570" s="36">
        <v>46060.272087233796</v>
      </c>
      <c r="AG570" s="5" t="s">
        <v>2200</v>
      </c>
    </row>
    <row r="571" ht="22.5" hidden="1" customHeight="1">
      <c r="A571" s="5" t="s">
        <v>2248</v>
      </c>
      <c r="B571" s="5" t="s">
        <v>1506</v>
      </c>
      <c r="C571" s="5" t="s">
        <v>2249</v>
      </c>
      <c r="D571" s="5" t="s">
        <v>474</v>
      </c>
      <c r="E571" s="25" t="s">
        <v>1314</v>
      </c>
      <c r="F571" s="5" t="s">
        <v>1315</v>
      </c>
      <c r="G571" s="5">
        <v>4911622.0</v>
      </c>
      <c r="H571" s="35">
        <v>32779.0</v>
      </c>
      <c r="I571" s="5" t="s">
        <v>156</v>
      </c>
      <c r="J571" s="5" t="s">
        <v>36</v>
      </c>
      <c r="K571" s="5" t="b">
        <v>0</v>
      </c>
      <c r="L571" s="5" t="b">
        <v>0</v>
      </c>
      <c r="N571" s="5">
        <v>0.0</v>
      </c>
      <c r="O571" s="5">
        <v>0.0</v>
      </c>
      <c r="P571" s="5">
        <v>0.0</v>
      </c>
      <c r="R571" s="5" t="b">
        <v>0</v>
      </c>
      <c r="U571" s="5" t="s">
        <v>1517</v>
      </c>
      <c r="V571" s="5" t="s">
        <v>1508</v>
      </c>
      <c r="W571" s="5" t="s">
        <v>1508</v>
      </c>
      <c r="X571" s="5" t="s">
        <v>1509</v>
      </c>
      <c r="Z571" s="5">
        <v>12000.0</v>
      </c>
      <c r="AB571" s="5">
        <v>0.0</v>
      </c>
      <c r="AC571" s="5" t="s">
        <v>1546</v>
      </c>
      <c r="AD571" s="5" t="s">
        <v>1527</v>
      </c>
      <c r="AE571" s="5">
        <v>1003.0</v>
      </c>
      <c r="AF571" s="36">
        <v>46060.27208465278</v>
      </c>
      <c r="AG571" s="5" t="s">
        <v>2200</v>
      </c>
    </row>
    <row r="572" ht="22.5" hidden="1" customHeight="1">
      <c r="A572" s="5" t="s">
        <v>2250</v>
      </c>
      <c r="B572" s="5" t="s">
        <v>1506</v>
      </c>
      <c r="C572" s="5" t="s">
        <v>1294</v>
      </c>
      <c r="D572" s="5" t="s">
        <v>14</v>
      </c>
      <c r="E572" s="5">
        <v>9.818809717E9</v>
      </c>
      <c r="F572" s="5" t="s">
        <v>1295</v>
      </c>
      <c r="G572" s="5">
        <v>6709540.0</v>
      </c>
      <c r="H572" s="35">
        <v>37270.0</v>
      </c>
      <c r="I572" s="5" t="s">
        <v>156</v>
      </c>
      <c r="J572" s="5" t="s">
        <v>36</v>
      </c>
      <c r="K572" s="5" t="b">
        <v>0</v>
      </c>
      <c r="L572" s="5" t="b">
        <v>0</v>
      </c>
      <c r="N572" s="5">
        <v>12000.0</v>
      </c>
      <c r="O572" s="5">
        <v>0.0</v>
      </c>
      <c r="P572" s="5">
        <v>0.0</v>
      </c>
      <c r="R572" s="5" t="b">
        <v>0</v>
      </c>
      <c r="U572" s="5" t="s">
        <v>1517</v>
      </c>
      <c r="V572" s="5" t="s">
        <v>1508</v>
      </c>
      <c r="W572" s="5" t="s">
        <v>1508</v>
      </c>
      <c r="X572" s="5" t="s">
        <v>1509</v>
      </c>
      <c r="Z572" s="5">
        <v>12000.0</v>
      </c>
      <c r="AB572" s="5">
        <v>0.0</v>
      </c>
      <c r="AC572" s="5" t="s">
        <v>1510</v>
      </c>
      <c r="AD572" s="5" t="s">
        <v>1511</v>
      </c>
      <c r="AE572" s="5">
        <v>1047.0</v>
      </c>
      <c r="AF572" s="36">
        <v>46060.2720821875</v>
      </c>
      <c r="AG572" s="5" t="s">
        <v>2200</v>
      </c>
    </row>
    <row r="573" ht="22.5" hidden="1" customHeight="1">
      <c r="A573" s="5" t="s">
        <v>2251</v>
      </c>
      <c r="B573" s="5" t="s">
        <v>1506</v>
      </c>
      <c r="C573" s="5" t="s">
        <v>1104</v>
      </c>
      <c r="D573" s="5" t="s">
        <v>14</v>
      </c>
      <c r="E573" s="25" t="s">
        <v>1105</v>
      </c>
      <c r="F573" s="5" t="s">
        <v>1106</v>
      </c>
      <c r="G573" s="5">
        <v>1366741.0</v>
      </c>
      <c r="H573" s="35">
        <v>22758.0</v>
      </c>
      <c r="I573" s="5" t="s">
        <v>156</v>
      </c>
      <c r="J573" s="5" t="s">
        <v>42</v>
      </c>
      <c r="K573" s="5" t="b">
        <v>0</v>
      </c>
      <c r="L573" s="5" t="b">
        <v>0</v>
      </c>
      <c r="N573" s="5">
        <v>7500.0</v>
      </c>
      <c r="O573" s="5">
        <v>0.0</v>
      </c>
      <c r="P573" s="5">
        <v>0.0</v>
      </c>
      <c r="R573" s="5" t="b">
        <v>0</v>
      </c>
      <c r="U573" s="5" t="s">
        <v>1507</v>
      </c>
      <c r="V573" s="5" t="s">
        <v>1508</v>
      </c>
      <c r="W573" s="5" t="s">
        <v>1508</v>
      </c>
      <c r="X573" s="5" t="s">
        <v>1509</v>
      </c>
      <c r="Z573" s="5">
        <v>7500.0</v>
      </c>
      <c r="AB573" s="5">
        <v>0.0</v>
      </c>
      <c r="AC573" s="5" t="s">
        <v>1510</v>
      </c>
      <c r="AD573" s="5" t="s">
        <v>1511</v>
      </c>
      <c r="AE573" s="5">
        <v>2045.0</v>
      </c>
      <c r="AF573" s="36">
        <v>46060.2720737037</v>
      </c>
      <c r="AG573" s="5" t="s">
        <v>2200</v>
      </c>
    </row>
    <row r="574" ht="22.5" hidden="1" customHeight="1">
      <c r="A574" s="5" t="s">
        <v>2252</v>
      </c>
      <c r="B574" s="5" t="s">
        <v>1506</v>
      </c>
      <c r="C574" s="5" t="s">
        <v>1316</v>
      </c>
      <c r="D574" s="5" t="s">
        <v>474</v>
      </c>
      <c r="E574" s="25" t="s">
        <v>1317</v>
      </c>
      <c r="F574" s="5" t="s">
        <v>1318</v>
      </c>
      <c r="G574" s="5">
        <v>5697406.0</v>
      </c>
      <c r="H574" s="35">
        <v>37106.0</v>
      </c>
      <c r="I574" s="5" t="s">
        <v>156</v>
      </c>
      <c r="J574" s="5" t="s">
        <v>36</v>
      </c>
      <c r="K574" s="5" t="b">
        <v>0</v>
      </c>
      <c r="L574" s="5" t="b">
        <v>0</v>
      </c>
      <c r="N574" s="5">
        <v>0.0</v>
      </c>
      <c r="O574" s="5">
        <v>0.0</v>
      </c>
      <c r="P574" s="5">
        <v>0.0</v>
      </c>
      <c r="R574" s="5" t="b">
        <v>0</v>
      </c>
      <c r="U574" s="5" t="s">
        <v>1519</v>
      </c>
      <c r="V574" s="5" t="s">
        <v>1508</v>
      </c>
      <c r="W574" s="5" t="s">
        <v>1508</v>
      </c>
      <c r="X574" s="5" t="s">
        <v>1509</v>
      </c>
      <c r="Z574" s="5">
        <v>12000.0</v>
      </c>
      <c r="AB574" s="5">
        <v>0.0</v>
      </c>
      <c r="AC574" s="5" t="s">
        <v>1546</v>
      </c>
      <c r="AD574" s="5" t="s">
        <v>1527</v>
      </c>
      <c r="AE574" s="5">
        <v>1004.0</v>
      </c>
      <c r="AF574" s="36">
        <v>46060.2720708912</v>
      </c>
      <c r="AG574" s="5" t="s">
        <v>2200</v>
      </c>
    </row>
    <row r="575" ht="22.5" hidden="1" customHeight="1">
      <c r="A575" s="5" t="s">
        <v>2253</v>
      </c>
      <c r="B575" s="5" t="s">
        <v>1506</v>
      </c>
      <c r="C575" s="5" t="s">
        <v>1296</v>
      </c>
      <c r="D575" s="5" t="s">
        <v>14</v>
      </c>
      <c r="E575" s="5">
        <v>9.86339853E9</v>
      </c>
      <c r="F575" s="5" t="s">
        <v>1297</v>
      </c>
      <c r="G575" s="5">
        <v>838.0</v>
      </c>
      <c r="H575" s="35">
        <v>35062.0</v>
      </c>
      <c r="I575" s="5" t="s">
        <v>156</v>
      </c>
      <c r="J575" s="5" t="s">
        <v>36</v>
      </c>
      <c r="K575" s="5" t="b">
        <v>0</v>
      </c>
      <c r="L575" s="5" t="b">
        <v>0</v>
      </c>
      <c r="N575" s="5">
        <v>12000.0</v>
      </c>
      <c r="O575" s="5">
        <v>0.0</v>
      </c>
      <c r="P575" s="5">
        <v>0.0</v>
      </c>
      <c r="R575" s="5" t="b">
        <v>0</v>
      </c>
      <c r="U575" s="5" t="s">
        <v>1507</v>
      </c>
      <c r="V575" s="5" t="s">
        <v>1508</v>
      </c>
      <c r="W575" s="5" t="s">
        <v>1508</v>
      </c>
      <c r="X575" s="5" t="s">
        <v>1509</v>
      </c>
      <c r="Z575" s="5">
        <v>12000.0</v>
      </c>
      <c r="AB575" s="5">
        <v>0.0</v>
      </c>
      <c r="AC575" s="5" t="s">
        <v>1510</v>
      </c>
      <c r="AD575" s="5" t="s">
        <v>1558</v>
      </c>
      <c r="AE575" s="5">
        <v>1013.0</v>
      </c>
      <c r="AF575" s="36">
        <v>46060.272067592596</v>
      </c>
      <c r="AG575" s="5" t="s">
        <v>2200</v>
      </c>
    </row>
    <row r="576" ht="22.5" hidden="1" customHeight="1">
      <c r="A576" s="5" t="s">
        <v>2254</v>
      </c>
      <c r="B576" s="5" t="s">
        <v>1506</v>
      </c>
      <c r="C576" s="5" t="s">
        <v>1219</v>
      </c>
      <c r="D576" s="5" t="s">
        <v>147</v>
      </c>
      <c r="E576" s="5">
        <v>9.81828076E9</v>
      </c>
      <c r="F576" s="5" t="s">
        <v>1220</v>
      </c>
      <c r="G576" s="5">
        <v>4475615.0</v>
      </c>
      <c r="H576" s="35">
        <v>28096.0</v>
      </c>
      <c r="I576" s="5" t="s">
        <v>16</v>
      </c>
      <c r="J576" s="5" t="s">
        <v>36</v>
      </c>
      <c r="K576" s="5" t="b">
        <v>0</v>
      </c>
      <c r="L576" s="5" t="b">
        <v>0</v>
      </c>
      <c r="N576" s="5">
        <v>150.0</v>
      </c>
      <c r="O576" s="5">
        <v>0.0</v>
      </c>
      <c r="P576" s="5">
        <v>0.0</v>
      </c>
      <c r="R576" s="5" t="b">
        <v>0</v>
      </c>
      <c r="U576" s="5" t="s">
        <v>1507</v>
      </c>
      <c r="V576" s="5" t="s">
        <v>1508</v>
      </c>
      <c r="W576" s="5" t="s">
        <v>1508</v>
      </c>
      <c r="X576" s="5" t="s">
        <v>1509</v>
      </c>
      <c r="Z576" s="5">
        <v>150.0</v>
      </c>
      <c r="AB576" s="5">
        <v>0.0</v>
      </c>
      <c r="AC576" s="5" t="s">
        <v>1546</v>
      </c>
      <c r="AD576" s="5" t="s">
        <v>1558</v>
      </c>
      <c r="AE576" s="5">
        <v>1019.0</v>
      </c>
      <c r="AF576" s="36">
        <v>46060.272063125</v>
      </c>
      <c r="AG576" s="5" t="s">
        <v>2200</v>
      </c>
    </row>
    <row r="577" ht="22.5" hidden="1" customHeight="1">
      <c r="A577" s="5" t="s">
        <v>2255</v>
      </c>
      <c r="B577" s="5" t="s">
        <v>1506</v>
      </c>
      <c r="C577" s="5" t="s">
        <v>1107</v>
      </c>
      <c r="D577" s="5" t="s">
        <v>14</v>
      </c>
      <c r="E577" s="5">
        <v>9.8627145E9</v>
      </c>
      <c r="F577" s="5" t="s">
        <v>1108</v>
      </c>
      <c r="H577" s="35">
        <v>37881.0</v>
      </c>
      <c r="I577" s="5" t="s">
        <v>156</v>
      </c>
      <c r="J577" s="5" t="s">
        <v>42</v>
      </c>
      <c r="K577" s="5" t="b">
        <v>0</v>
      </c>
      <c r="L577" s="5" t="b">
        <v>0</v>
      </c>
      <c r="N577" s="5">
        <v>7500.0</v>
      </c>
      <c r="O577" s="5">
        <v>0.0</v>
      </c>
      <c r="P577" s="5">
        <v>0.0</v>
      </c>
      <c r="R577" s="5" t="b">
        <v>0</v>
      </c>
      <c r="U577" s="5" t="s">
        <v>1519</v>
      </c>
      <c r="V577" s="5" t="s">
        <v>1508</v>
      </c>
      <c r="W577" s="5" t="s">
        <v>1508</v>
      </c>
      <c r="X577" s="5" t="s">
        <v>1509</v>
      </c>
      <c r="Z577" s="5">
        <v>7500.0</v>
      </c>
      <c r="AB577" s="5">
        <v>0.0</v>
      </c>
      <c r="AC577" s="5" t="s">
        <v>1510</v>
      </c>
      <c r="AD577" s="5" t="s">
        <v>1511</v>
      </c>
      <c r="AE577" s="5">
        <v>2140.0</v>
      </c>
      <c r="AF577" s="36">
        <v>46060.272044398145</v>
      </c>
      <c r="AG577" s="5" t="s">
        <v>2200</v>
      </c>
    </row>
    <row r="578" ht="22.5" hidden="1" customHeight="1">
      <c r="A578" s="5" t="s">
        <v>2256</v>
      </c>
      <c r="B578" s="5" t="s">
        <v>1506</v>
      </c>
      <c r="C578" s="5" t="s">
        <v>1109</v>
      </c>
      <c r="D578" s="5" t="s">
        <v>14</v>
      </c>
      <c r="E578" s="5">
        <v>9.860940702E9</v>
      </c>
      <c r="F578" s="5" t="s">
        <v>1110</v>
      </c>
      <c r="H578" s="35">
        <v>36499.0</v>
      </c>
      <c r="I578" s="5" t="s">
        <v>156</v>
      </c>
      <c r="J578" s="5" t="s">
        <v>42</v>
      </c>
      <c r="K578" s="5" t="b">
        <v>0</v>
      </c>
      <c r="L578" s="5" t="b">
        <v>0</v>
      </c>
      <c r="N578" s="5">
        <v>0.0</v>
      </c>
      <c r="O578" s="5">
        <v>0.0</v>
      </c>
      <c r="P578" s="5">
        <v>0.0</v>
      </c>
      <c r="R578" s="5" t="b">
        <v>0</v>
      </c>
      <c r="U578" s="5" t="s">
        <v>1514</v>
      </c>
      <c r="V578" s="5" t="s">
        <v>1508</v>
      </c>
      <c r="W578" s="5" t="s">
        <v>1548</v>
      </c>
      <c r="X578" s="5" t="s">
        <v>1509</v>
      </c>
      <c r="Z578" s="5">
        <v>7500.0</v>
      </c>
      <c r="AB578" s="5">
        <v>0.0</v>
      </c>
      <c r="AC578" s="5" t="s">
        <v>1510</v>
      </c>
      <c r="AE578" s="5">
        <v>2054.0</v>
      </c>
      <c r="AF578" s="36">
        <v>46060.08514465278</v>
      </c>
      <c r="AG578" s="5" t="s">
        <v>1549</v>
      </c>
    </row>
    <row r="579" ht="22.5" hidden="1" customHeight="1">
      <c r="A579" s="5" t="s">
        <v>2257</v>
      </c>
      <c r="B579" s="5" t="s">
        <v>1506</v>
      </c>
      <c r="C579" s="5" t="s">
        <v>2258</v>
      </c>
      <c r="D579" s="5" t="s">
        <v>938</v>
      </c>
      <c r="E579" s="25" t="s">
        <v>1149</v>
      </c>
      <c r="F579" s="5" t="s">
        <v>503</v>
      </c>
      <c r="G579" s="5">
        <v>2591099.0</v>
      </c>
      <c r="H579" s="35">
        <v>30183.0</v>
      </c>
      <c r="I579" s="5" t="s">
        <v>156</v>
      </c>
      <c r="J579" s="5" t="s">
        <v>42</v>
      </c>
      <c r="K579" s="5" t="b">
        <v>0</v>
      </c>
      <c r="L579" s="5" t="b">
        <v>0</v>
      </c>
      <c r="N579" s="5">
        <v>80.0</v>
      </c>
      <c r="O579" s="5">
        <v>0.0</v>
      </c>
      <c r="P579" s="5">
        <v>0.0</v>
      </c>
      <c r="R579" s="5" t="b">
        <v>0</v>
      </c>
      <c r="U579" s="5" t="s">
        <v>1517</v>
      </c>
      <c r="V579" s="5" t="s">
        <v>1508</v>
      </c>
      <c r="W579" s="5" t="s">
        <v>1508</v>
      </c>
      <c r="X579" s="5" t="s">
        <v>1509</v>
      </c>
      <c r="Z579" s="5">
        <v>80.0</v>
      </c>
      <c r="AB579" s="5">
        <v>0.0</v>
      </c>
      <c r="AC579" s="5" t="s">
        <v>1546</v>
      </c>
      <c r="AD579" s="5" t="s">
        <v>1551</v>
      </c>
      <c r="AE579" s="5">
        <v>2005.0</v>
      </c>
      <c r="AF579" s="36">
        <v>46059.39180153935</v>
      </c>
    </row>
    <row r="580" ht="22.5" hidden="1" customHeight="1">
      <c r="A580" s="5" t="s">
        <v>2259</v>
      </c>
      <c r="B580" s="5" t="s">
        <v>1506</v>
      </c>
      <c r="C580" s="5" t="s">
        <v>2219</v>
      </c>
      <c r="D580" s="5" t="s">
        <v>938</v>
      </c>
      <c r="E580" s="25" t="s">
        <v>1372</v>
      </c>
      <c r="F580" s="5" t="s">
        <v>1373</v>
      </c>
      <c r="G580" s="5">
        <v>4555371.0</v>
      </c>
      <c r="H580" s="35">
        <v>31001.0</v>
      </c>
      <c r="I580" s="5" t="s">
        <v>156</v>
      </c>
      <c r="J580" s="5" t="s">
        <v>36</v>
      </c>
      <c r="K580" s="5" t="b">
        <v>0</v>
      </c>
      <c r="L580" s="5" t="b">
        <v>0</v>
      </c>
      <c r="N580" s="5">
        <v>150.0</v>
      </c>
      <c r="O580" s="5">
        <v>0.0</v>
      </c>
      <c r="P580" s="5">
        <v>0.0</v>
      </c>
      <c r="R580" s="5" t="b">
        <v>0</v>
      </c>
      <c r="U580" s="5" t="s">
        <v>1517</v>
      </c>
      <c r="V580" s="5" t="s">
        <v>1508</v>
      </c>
      <c r="W580" s="5" t="s">
        <v>1548</v>
      </c>
      <c r="X580" s="5" t="s">
        <v>1509</v>
      </c>
      <c r="Z580" s="5">
        <v>150.0</v>
      </c>
      <c r="AB580" s="5">
        <v>0.0</v>
      </c>
      <c r="AC580" s="5" t="s">
        <v>1546</v>
      </c>
      <c r="AD580" s="5" t="s">
        <v>1558</v>
      </c>
      <c r="AE580" s="5">
        <v>1018.0</v>
      </c>
      <c r="AF580" s="36">
        <v>46058.525978564816</v>
      </c>
      <c r="AG580" s="5" t="s">
        <v>1549</v>
      </c>
    </row>
    <row r="581" ht="22.5" hidden="1" customHeight="1">
      <c r="A581" s="5" t="s">
        <v>2260</v>
      </c>
      <c r="B581" s="5" t="s">
        <v>1506</v>
      </c>
      <c r="C581" s="5" t="s">
        <v>1363</v>
      </c>
      <c r="D581" s="5" t="s">
        <v>1364</v>
      </c>
      <c r="E581" s="25" t="s">
        <v>1365</v>
      </c>
      <c r="F581" s="5" t="s">
        <v>1366</v>
      </c>
      <c r="G581" s="5">
        <v>4686429.0</v>
      </c>
      <c r="H581" s="35">
        <v>31711.0</v>
      </c>
      <c r="I581" s="5" t="s">
        <v>156</v>
      </c>
      <c r="J581" s="5" t="s">
        <v>36</v>
      </c>
      <c r="K581" s="5" t="b">
        <v>0</v>
      </c>
      <c r="L581" s="5" t="b">
        <v>0</v>
      </c>
      <c r="N581" s="5">
        <v>150.0</v>
      </c>
      <c r="O581" s="5">
        <v>0.0</v>
      </c>
      <c r="P581" s="5">
        <v>0.0</v>
      </c>
      <c r="R581" s="5" t="b">
        <v>0</v>
      </c>
      <c r="U581" s="5" t="s">
        <v>1519</v>
      </c>
      <c r="V581" s="5" t="s">
        <v>1508</v>
      </c>
      <c r="W581" s="5" t="s">
        <v>1508</v>
      </c>
      <c r="X581" s="5" t="s">
        <v>1509</v>
      </c>
      <c r="Z581" s="5">
        <v>150.0</v>
      </c>
      <c r="AB581" s="5">
        <v>0.0</v>
      </c>
      <c r="AC581" s="5" t="s">
        <v>1546</v>
      </c>
      <c r="AD581" s="5" t="s">
        <v>1558</v>
      </c>
      <c r="AE581" s="5">
        <v>1017.0</v>
      </c>
      <c r="AF581" s="36">
        <v>46058.36029283565</v>
      </c>
    </row>
    <row r="582" ht="22.5" hidden="1" customHeight="1">
      <c r="A582" s="5" t="s">
        <v>2261</v>
      </c>
      <c r="B582" s="5" t="s">
        <v>1506</v>
      </c>
      <c r="C582" s="5" t="s">
        <v>483</v>
      </c>
      <c r="D582" s="5" t="s">
        <v>137</v>
      </c>
      <c r="E582" s="25" t="s">
        <v>2262</v>
      </c>
      <c r="F582" s="5" t="s">
        <v>485</v>
      </c>
      <c r="G582" s="5">
        <v>6664946.0</v>
      </c>
      <c r="H582" s="35">
        <v>32996.0</v>
      </c>
      <c r="I582" s="5" t="s">
        <v>16</v>
      </c>
      <c r="J582" s="5" t="s">
        <v>39</v>
      </c>
      <c r="K582" s="5" t="b">
        <v>0</v>
      </c>
      <c r="L582" s="5" t="b">
        <v>0</v>
      </c>
      <c r="N582" s="5">
        <v>0.0</v>
      </c>
      <c r="O582" s="5">
        <v>0.0</v>
      </c>
      <c r="P582" s="5">
        <v>0.0</v>
      </c>
      <c r="R582" s="5" t="b">
        <v>0</v>
      </c>
      <c r="U582" s="5" t="s">
        <v>1507</v>
      </c>
      <c r="V582" s="5" t="s">
        <v>1508</v>
      </c>
      <c r="W582" s="5" t="s">
        <v>1508</v>
      </c>
      <c r="X582" s="5" t="s">
        <v>1509</v>
      </c>
      <c r="Z582" s="5">
        <v>4500.0</v>
      </c>
      <c r="AB582" s="5">
        <v>0.0</v>
      </c>
      <c r="AC582" s="5" t="s">
        <v>1546</v>
      </c>
      <c r="AD582" s="5" t="s">
        <v>1527</v>
      </c>
      <c r="AE582" s="5">
        <v>3001.0</v>
      </c>
      <c r="AF582" s="36">
        <v>46057.419680844905</v>
      </c>
    </row>
    <row r="583" ht="22.5" hidden="1" customHeight="1">
      <c r="A583" s="5" t="s">
        <v>2263</v>
      </c>
      <c r="B583" s="5" t="s">
        <v>1506</v>
      </c>
      <c r="C583" s="5" t="s">
        <v>1444</v>
      </c>
      <c r="D583" s="5" t="s">
        <v>137</v>
      </c>
      <c r="E583" s="25" t="s">
        <v>2264</v>
      </c>
      <c r="F583" s="5" t="s">
        <v>1446</v>
      </c>
      <c r="G583" s="5">
        <v>4802939.0</v>
      </c>
      <c r="H583" s="35">
        <v>34383.0</v>
      </c>
      <c r="I583" s="5" t="s">
        <v>156</v>
      </c>
      <c r="J583" s="5" t="s">
        <v>46</v>
      </c>
      <c r="K583" s="5" t="b">
        <v>0</v>
      </c>
      <c r="L583" s="5" t="b">
        <v>0</v>
      </c>
      <c r="N583" s="5">
        <v>0.0</v>
      </c>
      <c r="O583" s="5">
        <v>0.0</v>
      </c>
      <c r="P583" s="5">
        <v>0.0</v>
      </c>
      <c r="R583" s="5" t="b">
        <v>0</v>
      </c>
      <c r="U583" s="5" t="s">
        <v>1519</v>
      </c>
      <c r="V583" s="5" t="s">
        <v>1508</v>
      </c>
      <c r="W583" s="5" t="s">
        <v>1508</v>
      </c>
      <c r="X583" s="5" t="s">
        <v>1509</v>
      </c>
      <c r="Z583" s="5">
        <v>9000.0</v>
      </c>
      <c r="AB583" s="5">
        <v>0.0</v>
      </c>
      <c r="AC583" s="5" t="s">
        <v>1546</v>
      </c>
      <c r="AD583" s="5" t="s">
        <v>1527</v>
      </c>
      <c r="AE583" s="5">
        <v>1501.0</v>
      </c>
      <c r="AF583" s="36">
        <v>46057.416071886575</v>
      </c>
    </row>
    <row r="584" ht="22.5" hidden="1" customHeight="1">
      <c r="A584" s="5" t="s">
        <v>2265</v>
      </c>
      <c r="B584" s="5" t="s">
        <v>1506</v>
      </c>
      <c r="C584" s="5" t="s">
        <v>1367</v>
      </c>
      <c r="D584" s="5" t="s">
        <v>2266</v>
      </c>
      <c r="E584" s="25" t="s">
        <v>1369</v>
      </c>
      <c r="F584" s="5" t="s">
        <v>1370</v>
      </c>
      <c r="G584" s="5">
        <v>3470189.0</v>
      </c>
      <c r="H584" s="35">
        <v>26799.0</v>
      </c>
      <c r="I584" s="5" t="s">
        <v>156</v>
      </c>
      <c r="J584" s="5" t="s">
        <v>36</v>
      </c>
      <c r="K584" s="5" t="b">
        <v>0</v>
      </c>
      <c r="L584" s="5" t="b">
        <v>0</v>
      </c>
      <c r="N584" s="5">
        <v>150.0</v>
      </c>
      <c r="O584" s="5">
        <v>0.0</v>
      </c>
      <c r="P584" s="5">
        <v>0.0</v>
      </c>
      <c r="R584" s="5" t="b">
        <v>0</v>
      </c>
      <c r="U584" s="5" t="s">
        <v>1507</v>
      </c>
      <c r="V584" s="5" t="s">
        <v>1508</v>
      </c>
      <c r="W584" s="5" t="s">
        <v>1508</v>
      </c>
      <c r="X584" s="5" t="s">
        <v>1509</v>
      </c>
      <c r="Z584" s="5">
        <v>150.0</v>
      </c>
      <c r="AB584" s="5">
        <v>0.0</v>
      </c>
      <c r="AC584" s="5" t="s">
        <v>1546</v>
      </c>
      <c r="AD584" s="5" t="s">
        <v>1558</v>
      </c>
      <c r="AE584" s="5">
        <v>1016.0</v>
      </c>
      <c r="AF584" s="36">
        <v>46057.33928767361</v>
      </c>
    </row>
    <row r="585" ht="22.5" hidden="1" customHeight="1">
      <c r="A585" s="5" t="s">
        <v>2267</v>
      </c>
      <c r="B585" s="5" t="s">
        <v>1506</v>
      </c>
      <c r="C585" s="5" t="s">
        <v>1111</v>
      </c>
      <c r="D585" s="5" t="s">
        <v>14</v>
      </c>
      <c r="E585" s="5">
        <v>9.8510675E9</v>
      </c>
      <c r="F585" s="5" t="s">
        <v>1112</v>
      </c>
      <c r="G585" s="5">
        <v>6079129.0</v>
      </c>
      <c r="H585" s="35">
        <v>28556.0</v>
      </c>
      <c r="I585" s="5" t="s">
        <v>156</v>
      </c>
      <c r="J585" s="5" t="s">
        <v>42</v>
      </c>
      <c r="K585" s="5" t="b">
        <v>0</v>
      </c>
      <c r="L585" s="5" t="b">
        <v>0</v>
      </c>
      <c r="N585" s="5">
        <v>0.0</v>
      </c>
      <c r="O585" s="5">
        <v>0.0</v>
      </c>
      <c r="P585" s="5">
        <v>0.0</v>
      </c>
      <c r="R585" s="5" t="b">
        <v>0</v>
      </c>
      <c r="U585" s="5" t="s">
        <v>1519</v>
      </c>
      <c r="V585" s="5" t="s">
        <v>1508</v>
      </c>
      <c r="W585" s="5" t="s">
        <v>1508</v>
      </c>
      <c r="X585" s="5" t="s">
        <v>1509</v>
      </c>
      <c r="Z585" s="5">
        <v>7500.0</v>
      </c>
      <c r="AB585" s="5">
        <v>0.0</v>
      </c>
      <c r="AC585" s="5" t="s">
        <v>1510</v>
      </c>
      <c r="AE585" s="5">
        <v>2053.0</v>
      </c>
      <c r="AF585" s="36">
        <v>46057.22795043982</v>
      </c>
    </row>
    <row r="586" ht="22.5" hidden="1" customHeight="1">
      <c r="A586" s="5" t="s">
        <v>2268</v>
      </c>
      <c r="B586" s="5" t="s">
        <v>1506</v>
      </c>
      <c r="C586" s="5" t="s">
        <v>2269</v>
      </c>
      <c r="D586" s="5" t="s">
        <v>14</v>
      </c>
      <c r="E586" s="25" t="s">
        <v>832</v>
      </c>
      <c r="F586" s="5" t="s">
        <v>833</v>
      </c>
      <c r="H586" s="35">
        <v>32378.0</v>
      </c>
      <c r="I586" s="5" t="s">
        <v>156</v>
      </c>
      <c r="J586" s="5" t="s">
        <v>39</v>
      </c>
      <c r="K586" s="5" t="b">
        <v>0</v>
      </c>
      <c r="L586" s="5" t="b">
        <v>0</v>
      </c>
      <c r="N586" s="5">
        <v>0.0</v>
      </c>
      <c r="O586" s="5">
        <v>0.0</v>
      </c>
      <c r="P586" s="5">
        <v>0.0</v>
      </c>
      <c r="R586" s="5" t="b">
        <v>0</v>
      </c>
      <c r="U586" s="5" t="s">
        <v>1517</v>
      </c>
      <c r="V586" s="5" t="s">
        <v>1508</v>
      </c>
      <c r="W586" s="5" t="s">
        <v>1508</v>
      </c>
      <c r="X586" s="5" t="s">
        <v>1509</v>
      </c>
      <c r="Z586" s="5">
        <v>10.0</v>
      </c>
      <c r="AA586" s="5" t="s">
        <v>2270</v>
      </c>
      <c r="AB586" s="5">
        <v>4490.0</v>
      </c>
      <c r="AC586" s="5" t="s">
        <v>1510</v>
      </c>
      <c r="AE586" s="5">
        <v>3063.0</v>
      </c>
      <c r="AF586" s="36">
        <v>46056.71905947917</v>
      </c>
      <c r="AG586" s="5" t="s">
        <v>2271</v>
      </c>
    </row>
  </sheetData>
  <conditionalFormatting sqref="C1:C746">
    <cfRule type="expression" dxfId="5" priority="1">
      <formula>COUNTIF(C:C, C1) &gt; 1</formula>
    </cfRule>
  </conditionalFormatting>
  <dataValidations>
    <dataValidation type="custom" allowBlank="1" showDropDown="1" sqref="AF2:AF586">
      <formula1>OR(NOT(ISERROR(DATEVALUE(AF2))), AND(ISNUMBER(AF2), LEFT(CELL("format", AF2))="D"))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G1" s="11" t="s">
        <v>14</v>
      </c>
    </row>
    <row r="2">
      <c r="G2" s="11" t="s">
        <v>130</v>
      </c>
    </row>
    <row r="3">
      <c r="G3" s="11" t="s">
        <v>134</v>
      </c>
    </row>
    <row r="4">
      <c r="G4" s="11" t="s">
        <v>137</v>
      </c>
    </row>
    <row r="5">
      <c r="G5" s="11" t="s">
        <v>140</v>
      </c>
    </row>
    <row r="6">
      <c r="G6" s="11" t="s">
        <v>143</v>
      </c>
    </row>
    <row r="7">
      <c r="G7" s="11" t="s">
        <v>147</v>
      </c>
    </row>
    <row r="8">
      <c r="G8" s="11" t="s">
        <v>151</v>
      </c>
    </row>
    <row r="9">
      <c r="G9" s="11" t="s">
        <v>366</v>
      </c>
    </row>
    <row r="10">
      <c r="G10" s="11" t="s">
        <v>372</v>
      </c>
    </row>
    <row r="11">
      <c r="G11" s="11" t="s">
        <v>376</v>
      </c>
    </row>
    <row r="12">
      <c r="G12" s="11" t="s">
        <v>380</v>
      </c>
    </row>
    <row r="13">
      <c r="G13" s="11" t="s">
        <v>474</v>
      </c>
    </row>
    <row r="14">
      <c r="G14" s="11" t="s">
        <v>478</v>
      </c>
    </row>
    <row r="15">
      <c r="G15" s="11" t="s">
        <v>495</v>
      </c>
    </row>
    <row r="16">
      <c r="G16" s="11" t="s">
        <v>499</v>
      </c>
    </row>
    <row r="17">
      <c r="G17" s="11" t="s">
        <v>835</v>
      </c>
    </row>
    <row r="18">
      <c r="G18" s="11" t="s">
        <v>849</v>
      </c>
    </row>
    <row r="19">
      <c r="G19" s="11" t="s">
        <v>856</v>
      </c>
    </row>
    <row r="20">
      <c r="G20" s="11" t="s">
        <v>904</v>
      </c>
    </row>
    <row r="21">
      <c r="G21" s="11" t="s">
        <v>911</v>
      </c>
    </row>
    <row r="22">
      <c r="G22" s="11" t="s">
        <v>918</v>
      </c>
    </row>
    <row r="23">
      <c r="G23" s="11" t="s">
        <v>938</v>
      </c>
    </row>
    <row r="24">
      <c r="G24" s="11" t="s">
        <v>942</v>
      </c>
    </row>
    <row r="25">
      <c r="G25" s="11" t="s">
        <v>946</v>
      </c>
    </row>
    <row r="26">
      <c r="G26" s="11" t="s">
        <v>1151</v>
      </c>
    </row>
    <row r="27">
      <c r="G27" s="11" t="s">
        <v>1202</v>
      </c>
    </row>
    <row r="28">
      <c r="G28" s="11" t="s">
        <v>1206</v>
      </c>
    </row>
    <row r="29">
      <c r="G29" s="11" t="s">
        <v>1364</v>
      </c>
    </row>
    <row r="30">
      <c r="G30" s="11" t="s">
        <v>1368</v>
      </c>
    </row>
    <row r="31">
      <c r="G31" s="11" t="s">
        <v>1454</v>
      </c>
    </row>
  </sheetData>
  <drawing r:id="rId1"/>
</worksheet>
</file>